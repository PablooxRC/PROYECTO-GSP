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blo R\Downloads\"/>
    </mc:Choice>
  </mc:AlternateContent>
  <xr:revisionPtr revIDLastSave="0" documentId="13_ncr:1_{09FF6130-0C21-40B2-A495-D905186AD19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XPLORADORES" sheetId="1" r:id="rId1"/>
    <sheet name="Dirigentes" sheetId="2" r:id="rId2"/>
  </sheets>
  <calcPr calcId="191029"/>
</workbook>
</file>

<file path=xl/calcChain.xml><?xml version="1.0" encoding="utf-8"?>
<calcChain xmlns="http://schemas.openxmlformats.org/spreadsheetml/2006/main">
  <c r="A156" i="1" l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37" i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04" i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90" i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60" i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59" i="1"/>
  <c r="L17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</calcChain>
</file>

<file path=xl/sharedStrings.xml><?xml version="1.0" encoding="utf-8"?>
<sst xmlns="http://schemas.openxmlformats.org/spreadsheetml/2006/main" count="2248" uniqueCount="965">
  <si>
    <t>TROPA CASTORES</t>
  </si>
  <si>
    <t>HOJA DE INCRIPCION 2025</t>
  </si>
  <si>
    <t>RESPONSABLE:</t>
  </si>
  <si>
    <t>GRUPO PANDA</t>
  </si>
  <si>
    <t>CONTACTO DE EMERGENCIA</t>
  </si>
  <si>
    <t>No.</t>
  </si>
  <si>
    <t>Cedula de Identidad</t>
  </si>
  <si>
    <t>Primer Nombre</t>
  </si>
  <si>
    <t>Segundo Nombre</t>
  </si>
  <si>
    <t>Primer Apellido</t>
  </si>
  <si>
    <t>Segundo Apellido</t>
  </si>
  <si>
    <t>Fecha de Nacimiento dd-mm-aa</t>
  </si>
  <si>
    <t>Sexo M / F</t>
  </si>
  <si>
    <t>Grupo</t>
  </si>
  <si>
    <t>Unidad</t>
  </si>
  <si>
    <t>Etapa de Progresión</t>
  </si>
  <si>
    <t>Colegio</t>
  </si>
  <si>
    <t>Curso</t>
  </si>
  <si>
    <t>Numero de deposito</t>
  </si>
  <si>
    <t>Fecha de Deposito</t>
  </si>
  <si>
    <t>Monto</t>
  </si>
  <si>
    <t xml:space="preserve">ENVIO </t>
  </si>
  <si>
    <t xml:space="preserve">PARENTEZCO    NOMBRE </t>
  </si>
  <si>
    <t xml:space="preserve">NUMERO DE CELULAR </t>
  </si>
  <si>
    <t>VALENTINA</t>
  </si>
  <si>
    <t>SVIETA</t>
  </si>
  <si>
    <t>GARCIA</t>
  </si>
  <si>
    <t>FLORES</t>
  </si>
  <si>
    <t>F</t>
  </si>
  <si>
    <t>PANDA</t>
  </si>
  <si>
    <t>CASTORES</t>
  </si>
  <si>
    <t>RUMBO</t>
  </si>
  <si>
    <t>IRLANDÉS</t>
  </si>
  <si>
    <t>3 DE SECUNDARIA</t>
  </si>
  <si>
    <t>14262504035788075979</t>
  </si>
  <si>
    <t xml:space="preserve">PRIMER ENVIO </t>
  </si>
  <si>
    <t xml:space="preserve">Alvaro - papá </t>
  </si>
  <si>
    <t xml:space="preserve">SEBASTIÁN </t>
  </si>
  <si>
    <t>ALFREDO</t>
  </si>
  <si>
    <t>GAMARRA</t>
  </si>
  <si>
    <t>MOLERO</t>
  </si>
  <si>
    <t>M</t>
  </si>
  <si>
    <t>SAN AGUSTIN</t>
  </si>
  <si>
    <t>2 DE SECUNDARIA</t>
  </si>
  <si>
    <t>6485-8060997</t>
  </si>
  <si>
    <t xml:space="preserve">Alfredo - papá </t>
  </si>
  <si>
    <t>CHARLOTTE</t>
  </si>
  <si>
    <t>KAYA</t>
  </si>
  <si>
    <t>MAES</t>
  </si>
  <si>
    <t>SENDA</t>
  </si>
  <si>
    <t>HEROES DE BOQUERON</t>
  </si>
  <si>
    <t>1 DE SECUNDARIA</t>
  </si>
  <si>
    <t>6983-7796837</t>
  </si>
  <si>
    <t xml:space="preserve">Sandrine -  mamá </t>
  </si>
  <si>
    <t>GAEL</t>
  </si>
  <si>
    <t>ADRIAN</t>
  </si>
  <si>
    <t>VÁSQUEZ</t>
  </si>
  <si>
    <t>CHALLAPA</t>
  </si>
  <si>
    <t>PEDRO POVEDA</t>
  </si>
  <si>
    <t>1  DE SECUNDARIA</t>
  </si>
  <si>
    <t>6990-8007685</t>
  </si>
  <si>
    <t xml:space="preserve">Ruby - Mamá </t>
  </si>
  <si>
    <t>DAVID</t>
  </si>
  <si>
    <t>SANTOS</t>
  </si>
  <si>
    <t>ACOSTA</t>
  </si>
  <si>
    <t>2  DE SECUNDARIA</t>
  </si>
  <si>
    <t xml:space="preserve">Ruth - Mamá </t>
  </si>
  <si>
    <t>JEREMY</t>
  </si>
  <si>
    <t>SEBASTIAN</t>
  </si>
  <si>
    <t>APAZA</t>
  </si>
  <si>
    <t>MEJIA</t>
  </si>
  <si>
    <t>PISTA</t>
  </si>
  <si>
    <t xml:space="preserve">COLEGIO ALBERTH EINSTEIN </t>
  </si>
  <si>
    <t>6TO DE PRIMARIA</t>
  </si>
  <si>
    <t>4O4R124182</t>
  </si>
  <si>
    <t>Roger alvaro Apaza - Papá</t>
  </si>
  <si>
    <t>PAMELA</t>
  </si>
  <si>
    <t>GRAISE</t>
  </si>
  <si>
    <t xml:space="preserve">GONZALES </t>
  </si>
  <si>
    <t>CALLE</t>
  </si>
  <si>
    <t>EDMUNDO BOJANOWSKI</t>
  </si>
  <si>
    <t xml:space="preserve">1 DE SECUNDARIA </t>
  </si>
  <si>
    <t>Kevin Gonzales - Hermano</t>
  </si>
  <si>
    <t xml:space="preserve">MATÍAS </t>
  </si>
  <si>
    <t>ANDRÉS</t>
  </si>
  <si>
    <t>LEÑERO</t>
  </si>
  <si>
    <t>RUIZ</t>
  </si>
  <si>
    <t>TIQUIPAYA</t>
  </si>
  <si>
    <t>3O5K732988</t>
  </si>
  <si>
    <t>SEGUNDO ENVIO</t>
  </si>
  <si>
    <t>Francisco - Papá</t>
  </si>
  <si>
    <t>YAHIZA</t>
  </si>
  <si>
    <t>GUADALUPE</t>
  </si>
  <si>
    <t>SAENZ</t>
  </si>
  <si>
    <t>MOLINA</t>
  </si>
  <si>
    <t>LA SALLE</t>
  </si>
  <si>
    <t>14262505244188276512</t>
  </si>
  <si>
    <t>Adaluz - Mamá</t>
  </si>
  <si>
    <t>RAPHAEL</t>
  </si>
  <si>
    <t>PAUL</t>
  </si>
  <si>
    <t>LUCANA</t>
  </si>
  <si>
    <t>AJATA</t>
  </si>
  <si>
    <t>ALEMAN SANTA MARIA</t>
  </si>
  <si>
    <t>6TO DE PRIMARI</t>
  </si>
  <si>
    <t>TERCER ENVIO</t>
  </si>
  <si>
    <t>Belen - Mamá</t>
  </si>
  <si>
    <t>SARA</t>
  </si>
  <si>
    <t>MENDIVIL</t>
  </si>
  <si>
    <t>BETANCOURT</t>
  </si>
  <si>
    <t>INSTITUTO EDUARDO LAREDO</t>
  </si>
  <si>
    <t>14262509118410099969</t>
  </si>
  <si>
    <t>TECER ENVIO</t>
  </si>
  <si>
    <t>Mónica - Mamá</t>
  </si>
  <si>
    <t>ABRIL</t>
  </si>
  <si>
    <t>DE LA TORRE</t>
  </si>
  <si>
    <t>ESQUIROL</t>
  </si>
  <si>
    <t>TRAVESIA</t>
  </si>
  <si>
    <t>Ada - Mamá</t>
  </si>
  <si>
    <t>ANGEL</t>
  </si>
  <si>
    <t>MORALES</t>
  </si>
  <si>
    <t>PICTOR</t>
  </si>
  <si>
    <t>6to DE PRIMARIA</t>
  </si>
  <si>
    <t>17135-682618</t>
  </si>
  <si>
    <t>TERCER ENVÍO</t>
  </si>
  <si>
    <t>MAMÁ -  MELISSA PICTOR</t>
  </si>
  <si>
    <t>Maayan</t>
  </si>
  <si>
    <t>Emilia</t>
  </si>
  <si>
    <t>Weiss</t>
  </si>
  <si>
    <t>Collazos</t>
  </si>
  <si>
    <t>5TO DE PRIMARIA</t>
  </si>
  <si>
    <t>14262509207702771889</t>
  </si>
  <si>
    <t>Mamá - Señora Collazos</t>
  </si>
  <si>
    <t>Thiago</t>
  </si>
  <si>
    <t>Andre</t>
  </si>
  <si>
    <t>Bermudez</t>
  </si>
  <si>
    <t>Diaz</t>
  </si>
  <si>
    <t>14262510078341430161</t>
  </si>
  <si>
    <t>CUARTO ENVIO</t>
  </si>
  <si>
    <t>Mamá</t>
  </si>
  <si>
    <t>José</t>
  </si>
  <si>
    <t>Alejandro</t>
  </si>
  <si>
    <t>Barrero</t>
  </si>
  <si>
    <t>Estrada</t>
  </si>
  <si>
    <t>San Agustín</t>
  </si>
  <si>
    <t>2DO DE SECUNDARIA</t>
  </si>
  <si>
    <t>Papá - Juan Barrero</t>
  </si>
  <si>
    <t>BRISA</t>
  </si>
  <si>
    <t>TATIANA</t>
  </si>
  <si>
    <t>CRESPO</t>
  </si>
  <si>
    <t>ZURITA</t>
  </si>
  <si>
    <t>NACIONAL AYACUCHO</t>
  </si>
  <si>
    <t>ASIEL</t>
  </si>
  <si>
    <t>RENE</t>
  </si>
  <si>
    <t>ROMAN</t>
  </si>
  <si>
    <t xml:space="preserve">Mamá </t>
  </si>
  <si>
    <t>CARLOS</t>
  </si>
  <si>
    <t>ERNESTO</t>
  </si>
  <si>
    <t>MONTAÑO</t>
  </si>
  <si>
    <t>VERA</t>
  </si>
  <si>
    <t>senda</t>
  </si>
  <si>
    <t>COLEGIO SANTA ANA</t>
  </si>
  <si>
    <t>30A0086535</t>
  </si>
  <si>
    <t>Madre - Maria Vera</t>
  </si>
  <si>
    <t>14448338</t>
  </si>
  <si>
    <t>ARIANA</t>
  </si>
  <si>
    <t>CAROLINA</t>
  </si>
  <si>
    <t>GOMEZ</t>
  </si>
  <si>
    <t>SALAS</t>
  </si>
  <si>
    <t>BALOO</t>
  </si>
  <si>
    <t>CAZADOR</t>
  </si>
  <si>
    <t>5° PRIMARIA</t>
  </si>
  <si>
    <t>120 BS</t>
  </si>
  <si>
    <t>PRIMER ENVÍO</t>
  </si>
  <si>
    <t>MAMÁ - CAROLINA SALAS</t>
  </si>
  <si>
    <t>NEILS</t>
  </si>
  <si>
    <t>ALVARO</t>
  </si>
  <si>
    <t>VASQUEZ</t>
  </si>
  <si>
    <t>PATA TIERNA</t>
  </si>
  <si>
    <t>1° PRIMARIA</t>
  </si>
  <si>
    <t>MAMÁ - RUBY CHALLAPA</t>
  </si>
  <si>
    <t>THIAGO</t>
  </si>
  <si>
    <t>NEITHAN</t>
  </si>
  <si>
    <t>AREVALO</t>
  </si>
  <si>
    <t>JALDIN</t>
  </si>
  <si>
    <t>RASTREADOR</t>
  </si>
  <si>
    <t>MARCELO QUIROGA SANTA CRUZ</t>
  </si>
  <si>
    <t>4° PRIMARIA</t>
  </si>
  <si>
    <t>MAMÁ- ARLETH JALDIN</t>
  </si>
  <si>
    <t>DANIEL</t>
  </si>
  <si>
    <t>RANDY</t>
  </si>
  <si>
    <t>CASTRO</t>
  </si>
  <si>
    <t>CHOQUE</t>
  </si>
  <si>
    <t>MARIANO ANTEZANA</t>
  </si>
  <si>
    <t>3O4N003125</t>
  </si>
  <si>
    <t>MAMÁ - JIMENA CHOQUE</t>
  </si>
  <si>
    <t>DORIAN</t>
  </si>
  <si>
    <t>ASBEL</t>
  </si>
  <si>
    <t>3O4N003918</t>
  </si>
  <si>
    <t>ARIDAI</t>
  </si>
  <si>
    <t>SCHEZID</t>
  </si>
  <si>
    <t>CARDOZO</t>
  </si>
  <si>
    <t>6978-8065349</t>
  </si>
  <si>
    <t>120BS</t>
  </si>
  <si>
    <t>MAMÁ - NATTY FLORES</t>
  </si>
  <si>
    <t>MATTEO</t>
  </si>
  <si>
    <t>MAXIMILIANO</t>
  </si>
  <si>
    <t>HERRERA</t>
  </si>
  <si>
    <t>VELARDE</t>
  </si>
  <si>
    <t>CARLOTA REYES</t>
  </si>
  <si>
    <t>MAMÁ - ALESKA VELARDE</t>
  </si>
  <si>
    <t>ANDRES</t>
  </si>
  <si>
    <t>UGRINOVICH</t>
  </si>
  <si>
    <t>ALBERT EINSTEIN</t>
  </si>
  <si>
    <t>6O4R67935</t>
  </si>
  <si>
    <t>MAMÁ - MAGALY APAZA</t>
  </si>
  <si>
    <t>NATASHA</t>
  </si>
  <si>
    <t>MONSERRATH</t>
  </si>
  <si>
    <t>GALLEGUILLOS</t>
  </si>
  <si>
    <t>DE LA QUINTANA</t>
  </si>
  <si>
    <t>CONSTANTINO l</t>
  </si>
  <si>
    <t>3° PRIMARIA</t>
  </si>
  <si>
    <t>MAMÁ - JHAZMIN DELA QUINTANA</t>
  </si>
  <si>
    <t>RENATA</t>
  </si>
  <si>
    <t>ANGELES</t>
  </si>
  <si>
    <t>SALTADOR</t>
  </si>
  <si>
    <t>MAMÁ - RUTH ACOSTA</t>
  </si>
  <si>
    <t>JOAQUIN</t>
  </si>
  <si>
    <t>QUIROGA</t>
  </si>
  <si>
    <t>VELASQUEZ</t>
  </si>
  <si>
    <t>FEDERICO FROEBEL</t>
  </si>
  <si>
    <t>MAMÁ - ALE VELASQUEZ</t>
  </si>
  <si>
    <t>FABRICIO</t>
  </si>
  <si>
    <t>GALVARRO</t>
  </si>
  <si>
    <t>VALDEZ</t>
  </si>
  <si>
    <t>U. E. DEL EJÉRCITO</t>
  </si>
  <si>
    <t>2° PRIMARIA</t>
  </si>
  <si>
    <t>MAMÁ - ANDREA VALDEZ</t>
  </si>
  <si>
    <t>LUCIANA</t>
  </si>
  <si>
    <t>DANIELA</t>
  </si>
  <si>
    <t>LOZADA</t>
  </si>
  <si>
    <t>U. E. EDMUNDO BOJANOWSKI</t>
  </si>
  <si>
    <t>MAMÁ - ANA ZURITA</t>
  </si>
  <si>
    <t>MILA</t>
  </si>
  <si>
    <t>GARCIA MEZA</t>
  </si>
  <si>
    <t>DE ACHA</t>
  </si>
  <si>
    <t>JOLA</t>
  </si>
  <si>
    <t>6983-8095806</t>
  </si>
  <si>
    <t>MAMÁ - JIMENA DE ACHA</t>
  </si>
  <si>
    <t>SOFÍA</t>
  </si>
  <si>
    <t>RODRIGUEZ</t>
  </si>
  <si>
    <t>JIMENEZ</t>
  </si>
  <si>
    <t>JESÚS MARÍA</t>
  </si>
  <si>
    <t>3O49849820</t>
  </si>
  <si>
    <t>120bs</t>
  </si>
  <si>
    <t>PAPÁ - MARCELO RODRIGUEZ</t>
  </si>
  <si>
    <t>ELISA</t>
  </si>
  <si>
    <t>ANASTASIA</t>
  </si>
  <si>
    <t>MARTINEZ</t>
  </si>
  <si>
    <t>GONZÁLEZ</t>
  </si>
  <si>
    <t>LATINOAMERICANO</t>
  </si>
  <si>
    <t>PAPÁ - JESÚS MARTINEZ</t>
  </si>
  <si>
    <t>LARA</t>
  </si>
  <si>
    <t>130 BS</t>
  </si>
  <si>
    <t>SEGUNDO ENVÍO</t>
  </si>
  <si>
    <t>ANTHONY</t>
  </si>
  <si>
    <t>ABEL</t>
  </si>
  <si>
    <t>U.E EDMUNDO BOJANOWSKI</t>
  </si>
  <si>
    <t>VALENTÍN</t>
  </si>
  <si>
    <t>RAFAEL</t>
  </si>
  <si>
    <t>BACARREZA</t>
  </si>
  <si>
    <t>FLOR DE MONTAÑA</t>
  </si>
  <si>
    <t>3O9H966240</t>
  </si>
  <si>
    <t>MAMÁ - LUZ BACARREZA</t>
  </si>
  <si>
    <t>JULIAN</t>
  </si>
  <si>
    <t>WEISS</t>
  </si>
  <si>
    <t>COLLAZOS</t>
  </si>
  <si>
    <t>MAMÁ - CARMEN COLLAZOS</t>
  </si>
  <si>
    <t>FAUSTO</t>
  </si>
  <si>
    <t>TORRICO</t>
  </si>
  <si>
    <t>3O9Q234997</t>
  </si>
  <si>
    <t>MAMÁ - CARLA TORRICO</t>
  </si>
  <si>
    <t>MATEO</t>
  </si>
  <si>
    <t>VARGAS</t>
  </si>
  <si>
    <t>ARNEZ</t>
  </si>
  <si>
    <t>MAMÁ-</t>
  </si>
  <si>
    <t>ARACELI</t>
  </si>
  <si>
    <t>MAMÁ - MELISSA PICTOR</t>
  </si>
  <si>
    <t>AMELIA</t>
  </si>
  <si>
    <t>KENNETH</t>
  </si>
  <si>
    <t>YASSIR</t>
  </si>
  <si>
    <t>AGUILA</t>
  </si>
  <si>
    <t>CHURA</t>
  </si>
  <si>
    <t>AISB</t>
  </si>
  <si>
    <t>6948-6524715</t>
  </si>
  <si>
    <t>PAGO EN JULIO</t>
  </si>
  <si>
    <t>PAPÁ - YASSIR MARIO AGUILA MAGNE</t>
  </si>
  <si>
    <t>ZOE</t>
  </si>
  <si>
    <t>ECHAZU</t>
  </si>
  <si>
    <t>GUTIERREZ</t>
  </si>
  <si>
    <t>CALVERT</t>
  </si>
  <si>
    <t>35bs BECA</t>
  </si>
  <si>
    <t>Cuarto envío</t>
  </si>
  <si>
    <t>GUADALUPE 3</t>
  </si>
  <si>
    <t>SALGUERO</t>
  </si>
  <si>
    <t>MENACHO</t>
  </si>
  <si>
    <t>KOTICK</t>
  </si>
  <si>
    <t>COLEGIO ALEMÁN FEDERICO FROEBEL</t>
  </si>
  <si>
    <t>304E86023</t>
  </si>
  <si>
    <t>1er ENVIO</t>
  </si>
  <si>
    <t>Mamá - Nayra</t>
  </si>
  <si>
    <t>ALEXANDER 4</t>
  </si>
  <si>
    <t>ANANDA</t>
  </si>
  <si>
    <t>RIOS</t>
  </si>
  <si>
    <t>MURILLO</t>
  </si>
  <si>
    <t>CENDI - SAN SIMON</t>
  </si>
  <si>
    <t>6486-7986187</t>
  </si>
  <si>
    <t>Mamá - Cynthia</t>
  </si>
  <si>
    <t>SERGIO 2</t>
  </si>
  <si>
    <t>ASIN</t>
  </si>
  <si>
    <t>5TO PRIMARIA</t>
  </si>
  <si>
    <t>120Bs</t>
  </si>
  <si>
    <t>Mamá - Andrea</t>
  </si>
  <si>
    <t>FABIAN 2</t>
  </si>
  <si>
    <t>OCAMPO</t>
  </si>
  <si>
    <t>SEOANE</t>
  </si>
  <si>
    <t>3RO DE PRIMARIA</t>
  </si>
  <si>
    <t>6487-8047378</t>
  </si>
  <si>
    <t>Papá - Rodrigo</t>
  </si>
  <si>
    <t>FACUNDO 2</t>
  </si>
  <si>
    <t>SOLIZ</t>
  </si>
  <si>
    <t>ZUBIETA</t>
  </si>
  <si>
    <t>304Q354882</t>
  </si>
  <si>
    <t>Papá - Daniel</t>
  </si>
  <si>
    <t>FABIAN 1</t>
  </si>
  <si>
    <t>NAYAT</t>
  </si>
  <si>
    <t>PANIAGUA</t>
  </si>
  <si>
    <t>COLEGIO DON BOSCO</t>
  </si>
  <si>
    <t>1RO DE PRIMARIA</t>
  </si>
  <si>
    <t>6487-8041594</t>
  </si>
  <si>
    <r>
      <t xml:space="preserve">275BS </t>
    </r>
    <r>
      <rPr>
        <b/>
        <i/>
        <sz val="10"/>
        <color rgb="FF000000"/>
        <rFont val="Arial"/>
        <family val="2"/>
        <scheme val="minor"/>
      </rPr>
      <t>(3er Hermano)</t>
    </r>
  </si>
  <si>
    <t>Mamá - Milena</t>
  </si>
  <si>
    <t>MATIAS 2</t>
  </si>
  <si>
    <t>NAHUEL</t>
  </si>
  <si>
    <t>CAMACHO</t>
  </si>
  <si>
    <t>CAZORLA</t>
  </si>
  <si>
    <t>Papá - Ronald</t>
  </si>
  <si>
    <t>ABIGAIL 2</t>
  </si>
  <si>
    <t>SEJAS</t>
  </si>
  <si>
    <t>ROJAS</t>
  </si>
  <si>
    <t>3TO DE PRIMARIA</t>
  </si>
  <si>
    <t>Mamá - Estefani</t>
  </si>
  <si>
    <t>RAFAEL 4</t>
  </si>
  <si>
    <t>ALEXANDER</t>
  </si>
  <si>
    <t>LOMA</t>
  </si>
  <si>
    <t>MÉNDEZ</t>
  </si>
  <si>
    <t>Mamá - Wendy</t>
  </si>
  <si>
    <t>RAFAELA 1</t>
  </si>
  <si>
    <t>CATALINA</t>
  </si>
  <si>
    <t>CABEZAS</t>
  </si>
  <si>
    <t>CARMONA</t>
  </si>
  <si>
    <t>130BS</t>
  </si>
  <si>
    <t>3er ENVIO</t>
  </si>
  <si>
    <t>Mamá - Veronica</t>
  </si>
  <si>
    <t>ALEJANDRO 1</t>
  </si>
  <si>
    <t>JOSEP</t>
  </si>
  <si>
    <t>SANCHEZ</t>
  </si>
  <si>
    <t>TERÁN</t>
  </si>
  <si>
    <t>3ER ENVIO</t>
  </si>
  <si>
    <t>ARIANA 1</t>
  </si>
  <si>
    <t>ANGELA</t>
  </si>
  <si>
    <t>ARRASCAIN</t>
  </si>
  <si>
    <t>SALAZAR</t>
  </si>
  <si>
    <t>CLUB DE LEONES</t>
  </si>
  <si>
    <t>Mamá - Soledad</t>
  </si>
  <si>
    <t>MAXIMO 4</t>
  </si>
  <si>
    <t>RENATO</t>
  </si>
  <si>
    <t>CASTELLÓN</t>
  </si>
  <si>
    <t>FERNANDEZ</t>
  </si>
  <si>
    <t>135BS</t>
  </si>
  <si>
    <t>4TO ENVIO</t>
  </si>
  <si>
    <t>Mamá - Raquel</t>
  </si>
  <si>
    <t>RAFEAEL 1</t>
  </si>
  <si>
    <t>IGNACIO</t>
  </si>
  <si>
    <t>ARANIBAR</t>
  </si>
  <si>
    <t>LEON</t>
  </si>
  <si>
    <t>2DO DE PRIMARIA</t>
  </si>
  <si>
    <r>
      <t xml:space="preserve">35BS </t>
    </r>
    <r>
      <rPr>
        <b/>
        <i/>
        <sz val="10"/>
        <color rgb="FF000000"/>
        <rFont val="Arial"/>
        <family val="2"/>
        <scheme val="minor"/>
      </rPr>
      <t>(BECADO)</t>
    </r>
  </si>
  <si>
    <t>Mamá - Adriana</t>
  </si>
  <si>
    <t>BALTAZAR 1</t>
  </si>
  <si>
    <t>30B6747377</t>
  </si>
  <si>
    <t>MATEO 1</t>
  </si>
  <si>
    <t>ANDREE</t>
  </si>
  <si>
    <t>MATTHEW</t>
  </si>
  <si>
    <t>HINOJOSA</t>
  </si>
  <si>
    <t>BURGOS</t>
  </si>
  <si>
    <t>KAA</t>
  </si>
  <si>
    <t>PRIMERO</t>
  </si>
  <si>
    <t>MADRE</t>
  </si>
  <si>
    <t>MARK</t>
  </si>
  <si>
    <t>EUFRON</t>
  </si>
  <si>
    <t>CABEROS</t>
  </si>
  <si>
    <t>CARBALLO</t>
  </si>
  <si>
    <t>CARMELA ALBORNOZ</t>
  </si>
  <si>
    <t>4TO DE PRIMARIA</t>
  </si>
  <si>
    <t>DIANA</t>
  </si>
  <si>
    <t>GUTIÉRREZ</t>
  </si>
  <si>
    <t>SARAVIA</t>
  </si>
  <si>
    <t>PADRE</t>
  </si>
  <si>
    <t>MATEUS</t>
  </si>
  <si>
    <t>PIETRO</t>
  </si>
  <si>
    <t>REJAS</t>
  </si>
  <si>
    <t>HUGHES SCHOOL</t>
  </si>
  <si>
    <t>3DO DE PRIMARIA</t>
  </si>
  <si>
    <t>HERMANO MAYOR</t>
  </si>
  <si>
    <t>KEVIN</t>
  </si>
  <si>
    <t>MAURICIO</t>
  </si>
  <si>
    <t>FUENTES</t>
  </si>
  <si>
    <t>LOPEZ</t>
  </si>
  <si>
    <t>MAMÁ</t>
  </si>
  <si>
    <t>ELIF</t>
  </si>
  <si>
    <t>DASHA NEUL</t>
  </si>
  <si>
    <t>CHAVEZ</t>
  </si>
  <si>
    <t>PADILLA</t>
  </si>
  <si>
    <t>RICHARD VOND WEIZSACKER</t>
  </si>
  <si>
    <t>SORIA</t>
  </si>
  <si>
    <t>SOTO</t>
  </si>
  <si>
    <t>PENIEL</t>
  </si>
  <si>
    <t>GALAN</t>
  </si>
  <si>
    <t>CONDORI</t>
  </si>
  <si>
    <t>SEGUNDO</t>
  </si>
  <si>
    <t>ISSEI</t>
  </si>
  <si>
    <t>BALCAZAR</t>
  </si>
  <si>
    <t>JAIME ESCALANTE</t>
  </si>
  <si>
    <t>ALMARAZ</t>
  </si>
  <si>
    <t>IRLANDES</t>
  </si>
  <si>
    <t>01072025/295/140/595/0556</t>
  </si>
  <si>
    <t>EMILY</t>
  </si>
  <si>
    <t>RIVAS</t>
  </si>
  <si>
    <t>DON BOSCO</t>
  </si>
  <si>
    <t>ENRIQUE</t>
  </si>
  <si>
    <t>MARIN</t>
  </si>
  <si>
    <t>ESPINOZA</t>
  </si>
  <si>
    <t>FEDERICO FROËBEL</t>
  </si>
  <si>
    <t>309L013217</t>
  </si>
  <si>
    <t>AGUSTIN</t>
  </si>
  <si>
    <t>MARTIN</t>
  </si>
  <si>
    <t>VILLAROEL</t>
  </si>
  <si>
    <t>OPORTO</t>
  </si>
  <si>
    <t>ITALO BOLIVIANO</t>
  </si>
  <si>
    <t>3O9M900707</t>
  </si>
  <si>
    <t>PAPA</t>
  </si>
  <si>
    <t>LUANA</t>
  </si>
  <si>
    <t>TERRAN</t>
  </si>
  <si>
    <t>COAQUIRA</t>
  </si>
  <si>
    <t>INSTITUTO AMERICANO</t>
  </si>
  <si>
    <t>JAIME</t>
  </si>
  <si>
    <t>ANTONIO</t>
  </si>
  <si>
    <t>GUZMAN</t>
  </si>
  <si>
    <t>ENCINAS</t>
  </si>
  <si>
    <t>ISABEL</t>
  </si>
  <si>
    <t>JANA</t>
  </si>
  <si>
    <t>ANGULO</t>
  </si>
  <si>
    <t>HEREDIA</t>
  </si>
  <si>
    <t>ADRIANA</t>
  </si>
  <si>
    <t>INSCRITA EN SANTA CRUZ</t>
  </si>
  <si>
    <t>ELSA</t>
  </si>
  <si>
    <t>CONSTANZA</t>
  </si>
  <si>
    <t>GONZALES</t>
  </si>
  <si>
    <t>3OBU772908</t>
  </si>
  <si>
    <t>AARON</t>
  </si>
  <si>
    <t>3OBU781060</t>
  </si>
  <si>
    <t>FABIAN</t>
  </si>
  <si>
    <t>3OBU785502</t>
  </si>
  <si>
    <t>LEONARDO</t>
  </si>
  <si>
    <t>ITZAE</t>
  </si>
  <si>
    <t>PRIETO</t>
  </si>
  <si>
    <t>PAREDES</t>
  </si>
  <si>
    <t>3OBU791403</t>
  </si>
  <si>
    <t>EMILIANO</t>
  </si>
  <si>
    <t>ALONZO</t>
  </si>
  <si>
    <t>ALVEAR</t>
  </si>
  <si>
    <t>QUISPE</t>
  </si>
  <si>
    <t>KUSIKUNA</t>
  </si>
  <si>
    <t>3OBU793150</t>
  </si>
  <si>
    <t>NICOLAS</t>
  </si>
  <si>
    <t>SANTIAGO</t>
  </si>
  <si>
    <t>ROCHA</t>
  </si>
  <si>
    <t>NAVA</t>
  </si>
  <si>
    <t>NUESTRA SEÑORA DE URCUPIÑA</t>
  </si>
  <si>
    <t>3OBU796199</t>
  </si>
  <si>
    <t>LEONEL</t>
  </si>
  <si>
    <t>AGNE</t>
  </si>
  <si>
    <t>COSIO</t>
  </si>
  <si>
    <t>3OBU827335</t>
  </si>
  <si>
    <t>BECADO</t>
  </si>
  <si>
    <t>IKER</t>
  </si>
  <si>
    <t>JHOSWARD</t>
  </si>
  <si>
    <t>MANRRIQUE</t>
  </si>
  <si>
    <t>UNIDAD EDUCATIVA WILGE RODRIGUEZ</t>
  </si>
  <si>
    <t>3OBU822145</t>
  </si>
  <si>
    <t>MATIAS</t>
  </si>
  <si>
    <t>FERNANDO</t>
  </si>
  <si>
    <t>ANTEZANA</t>
  </si>
  <si>
    <t>SALOMON</t>
  </si>
  <si>
    <t>HALCONES</t>
  </si>
  <si>
    <t>ADVENTISTA COCHABAMBA</t>
  </si>
  <si>
    <t>6to de Primaria</t>
  </si>
  <si>
    <t>Karime Salomon-Mama</t>
  </si>
  <si>
    <t>13316674 LP</t>
  </si>
  <si>
    <t>OFELIA</t>
  </si>
  <si>
    <t>SAN AGUSTÍN</t>
  </si>
  <si>
    <t>Sergio Fernandez -Papa</t>
  </si>
  <si>
    <t>JAVIER</t>
  </si>
  <si>
    <t>ALEMÁN FEDERICO FROEBEL</t>
  </si>
  <si>
    <t>5to de Primaria</t>
  </si>
  <si>
    <t>6991-8021947</t>
  </si>
  <si>
    <t>Rodrigo Ocampo-Papa</t>
  </si>
  <si>
    <t>MEDRANO</t>
  </si>
  <si>
    <t>LAZARTE</t>
  </si>
  <si>
    <t>TRAVESÍA</t>
  </si>
  <si>
    <t>3ro de Secudaria</t>
  </si>
  <si>
    <t>William Medrano-Papa</t>
  </si>
  <si>
    <t>REGINA</t>
  </si>
  <si>
    <t>Esclavas del sagrado corazon de jesus</t>
  </si>
  <si>
    <t>3ro de Secundaria</t>
  </si>
  <si>
    <t>Pedro Vargas-Papa</t>
  </si>
  <si>
    <t>ANDREA</t>
  </si>
  <si>
    <t>SOLANGE</t>
  </si>
  <si>
    <t>Colegio Albert Einstein</t>
  </si>
  <si>
    <t>Sandrine Maes</t>
  </si>
  <si>
    <t>BENJAMIN</t>
  </si>
  <si>
    <t>EDUARDO</t>
  </si>
  <si>
    <t>DE BERDUCCY</t>
  </si>
  <si>
    <t>Tiquipaya</t>
  </si>
  <si>
    <t>304P567724</t>
  </si>
  <si>
    <t>Iberia de Berduccy- Mama</t>
  </si>
  <si>
    <t>JOSE</t>
  </si>
  <si>
    <t>AZOGUE</t>
  </si>
  <si>
    <t>Aleman Federico Froebel</t>
  </si>
  <si>
    <t>3ero de Secundaria</t>
  </si>
  <si>
    <t>Maya Camacho Mojica-Mama</t>
  </si>
  <si>
    <t>VIVIANA</t>
  </si>
  <si>
    <t>SANJIVNI</t>
  </si>
  <si>
    <t>Cendi-San Simon</t>
  </si>
  <si>
    <t>1ro de Secundaria</t>
  </si>
  <si>
    <t>Beca Hermanos</t>
  </si>
  <si>
    <t>Cynthia-Tia</t>
  </si>
  <si>
    <t>HARI</t>
  </si>
  <si>
    <t>Don Boscon</t>
  </si>
  <si>
    <t>Milena-Mama</t>
  </si>
  <si>
    <t>Albert Einstein</t>
  </si>
  <si>
    <t>2do de Secundaria</t>
  </si>
  <si>
    <t>Willy Méndez-</t>
  </si>
  <si>
    <t>ISABELA</t>
  </si>
  <si>
    <t>ARROCHA</t>
  </si>
  <si>
    <t>1ero de Secundaria</t>
  </si>
  <si>
    <t>ALEJANDRO</t>
  </si>
  <si>
    <t>AETON</t>
  </si>
  <si>
    <t>PEDRAZAS</t>
  </si>
  <si>
    <t>PARDO</t>
  </si>
  <si>
    <t>Panda</t>
  </si>
  <si>
    <t>304P708592</t>
  </si>
  <si>
    <t>Graciela Pardo-Mama</t>
  </si>
  <si>
    <t>NICOLÁS</t>
  </si>
  <si>
    <t>Heroes del Boqueron</t>
  </si>
  <si>
    <t>Sandrine - mamá</t>
  </si>
  <si>
    <t>Estefany Rojas-Mama</t>
  </si>
  <si>
    <t>FABIANA</t>
  </si>
  <si>
    <t>SELAEZ</t>
  </si>
  <si>
    <t>ALVARADO</t>
  </si>
  <si>
    <t>Rumbo</t>
  </si>
  <si>
    <t>Unidad Educativa del ejercito</t>
  </si>
  <si>
    <t>WILSON GONZALES -PAPA</t>
  </si>
  <si>
    <t>MARIEL</t>
  </si>
  <si>
    <t>MELANIE</t>
  </si>
  <si>
    <t>CAMPOS</t>
  </si>
  <si>
    <t>NAVARRO</t>
  </si>
  <si>
    <t>HUGHES SCHOOLS</t>
  </si>
  <si>
    <t>BEL NAVARRO-MADRE</t>
  </si>
  <si>
    <t>KAMIL</t>
  </si>
  <si>
    <t>GRAGEDA</t>
  </si>
  <si>
    <t>1RO DE ECUNDARIA</t>
  </si>
  <si>
    <t>Hugo Montaño-Papa</t>
  </si>
  <si>
    <t>JHULIET</t>
  </si>
  <si>
    <t>HUMBERTO PORTOCARRERO</t>
  </si>
  <si>
    <t>3O8A285208</t>
  </si>
  <si>
    <t>Mary Carvallo - Mama</t>
  </si>
  <si>
    <t>AYLIN</t>
  </si>
  <si>
    <t>MICHELLE</t>
  </si>
  <si>
    <t>LOREDO</t>
  </si>
  <si>
    <t>Aleja Cazorla</t>
  </si>
  <si>
    <t>MARVIN</t>
  </si>
  <si>
    <t>RUSSEL</t>
  </si>
  <si>
    <t>RIVERO</t>
  </si>
  <si>
    <t>MITMA</t>
  </si>
  <si>
    <t>COLEGIO LAREDO</t>
  </si>
  <si>
    <t>3RO DE SECUNDARIA</t>
  </si>
  <si>
    <t>Beca beneficiario</t>
  </si>
  <si>
    <t>Rosario-Mama</t>
  </si>
  <si>
    <t>JANUS</t>
  </si>
  <si>
    <t>FENRYZ</t>
  </si>
  <si>
    <t>CRUS</t>
  </si>
  <si>
    <t>COLEGIO EDUARDO LAREDO</t>
  </si>
  <si>
    <t>Beca Beneficiario</t>
  </si>
  <si>
    <t>Virginia rojas-mama</t>
  </si>
  <si>
    <t>MATÍAS</t>
  </si>
  <si>
    <t>MERCADO</t>
  </si>
  <si>
    <t>MENDIZABAL</t>
  </si>
  <si>
    <t>TIBURONES</t>
  </si>
  <si>
    <t>6TO PRIMARIA</t>
  </si>
  <si>
    <t>XIMENA</t>
  </si>
  <si>
    <t>CARTAGENA</t>
  </si>
  <si>
    <t>BECA HERMANOS</t>
  </si>
  <si>
    <t>MAMÁ - JIMENA CARTAGENA</t>
  </si>
  <si>
    <t>MARCELO</t>
  </si>
  <si>
    <t>RICHARD</t>
  </si>
  <si>
    <t>1RO SECUNDARIA</t>
  </si>
  <si>
    <t>JOSÉ</t>
  </si>
  <si>
    <t>JHONN</t>
  </si>
  <si>
    <t>ÁNGEL</t>
  </si>
  <si>
    <t>TOLA</t>
  </si>
  <si>
    <t>UNIDAD EDUCATIVA COBIJA</t>
  </si>
  <si>
    <t>5TO SECUNDARIA</t>
  </si>
  <si>
    <t>ALICIA</t>
  </si>
  <si>
    <t>FIGUEROA</t>
  </si>
  <si>
    <t>BARRANCOS</t>
  </si>
  <si>
    <t>MAMÁ - TATIANA BARRANCOS</t>
  </si>
  <si>
    <t>CECILIA</t>
  </si>
  <si>
    <t>NIÑA</t>
  </si>
  <si>
    <t>CASTILLO</t>
  </si>
  <si>
    <t>CEICO</t>
  </si>
  <si>
    <t>2DO SECUNDARIA</t>
  </si>
  <si>
    <t>6985-7859968</t>
  </si>
  <si>
    <t>MAMÁ - SANDRA CASTILLO</t>
  </si>
  <si>
    <t>IAN</t>
  </si>
  <si>
    <t>NICOLA</t>
  </si>
  <si>
    <t>EMANUEL</t>
  </si>
  <si>
    <t>4TO SECUNDARIA</t>
  </si>
  <si>
    <t>3O4l228453</t>
  </si>
  <si>
    <t>PAPÁ - NICOLÁS VILLAROEL</t>
  </si>
  <si>
    <t>ADRIÁN</t>
  </si>
  <si>
    <t>LÓPEZ</t>
  </si>
  <si>
    <t>6992-7951534</t>
  </si>
  <si>
    <t>ORLANDO</t>
  </si>
  <si>
    <t>PAPÁ</t>
  </si>
  <si>
    <t>STEFANNY</t>
  </si>
  <si>
    <t>CUBA</t>
  </si>
  <si>
    <t>U.E SAUSALITO</t>
  </si>
  <si>
    <t>MAMÁ - CRIS</t>
  </si>
  <si>
    <t>CARDENAS</t>
  </si>
  <si>
    <t>MENDOZA</t>
  </si>
  <si>
    <t>ALEMAN FEDERICO FROEBEL</t>
  </si>
  <si>
    <t>MAMÁ - ELIANA MENDOZA</t>
  </si>
  <si>
    <t>AILYN</t>
  </si>
  <si>
    <t>BARRETO</t>
  </si>
  <si>
    <t>TUPA</t>
  </si>
  <si>
    <t>LUIS GUZMÁN ARAUGO</t>
  </si>
  <si>
    <t>6TO SECUNDARIA</t>
  </si>
  <si>
    <t>PAPÁ - HENRY BARRETO</t>
  </si>
  <si>
    <t>PABLO</t>
  </si>
  <si>
    <t>GANDARILLAS</t>
  </si>
  <si>
    <t>GOITIA</t>
  </si>
  <si>
    <t>28/04/2025/295/140/595/5835</t>
  </si>
  <si>
    <t>URIEL</t>
  </si>
  <si>
    <t>ESCOBAR</t>
  </si>
  <si>
    <t>DIAZ</t>
  </si>
  <si>
    <t>3O4R005281</t>
  </si>
  <si>
    <t>JHULIANA</t>
  </si>
  <si>
    <t>BECERRA</t>
  </si>
  <si>
    <t>PAULO FREIRE</t>
  </si>
  <si>
    <t>3RO SECUNDARIA</t>
  </si>
  <si>
    <t>UNAI</t>
  </si>
  <si>
    <t>PUENTE</t>
  </si>
  <si>
    <t>PAZ</t>
  </si>
  <si>
    <t>NOEMI</t>
  </si>
  <si>
    <t>ESTER</t>
  </si>
  <si>
    <t>AMGAD MILAD</t>
  </si>
  <si>
    <t>MONTELLANO</t>
  </si>
  <si>
    <t>3O5L553559</t>
  </si>
  <si>
    <t>CRISTIAN</t>
  </si>
  <si>
    <t>JOSUE</t>
  </si>
  <si>
    <t>BRANKO PETRICEVIC</t>
  </si>
  <si>
    <t>CADIMA</t>
  </si>
  <si>
    <t>BALDERRAMA</t>
  </si>
  <si>
    <t>MAMÁ - SILVANA BALDERRAMA</t>
  </si>
  <si>
    <t>LEIRA</t>
  </si>
  <si>
    <t>ELLEN</t>
  </si>
  <si>
    <t>GUARACHI</t>
  </si>
  <si>
    <t>EDDIE</t>
  </si>
  <si>
    <t>CRUZ</t>
  </si>
  <si>
    <t>1RO DE SECUNDARIA</t>
  </si>
  <si>
    <t>LEANDRO</t>
  </si>
  <si>
    <t>LOYOLA</t>
  </si>
  <si>
    <t>CABRERA</t>
  </si>
  <si>
    <t>VILLARROEL</t>
  </si>
  <si>
    <t>CENTRO EDUCATIVO HEIDI</t>
  </si>
  <si>
    <t>1Ro DE SECUNDARIA</t>
  </si>
  <si>
    <t>LOGAN</t>
  </si>
  <si>
    <t>CALEB</t>
  </si>
  <si>
    <t>GUILLERMO URQUIDI</t>
  </si>
  <si>
    <t>IPORRE</t>
  </si>
  <si>
    <t>LOCOTOS</t>
  </si>
  <si>
    <t>ENCUENTRO</t>
  </si>
  <si>
    <t>5TO DE SECUNDARIA</t>
  </si>
  <si>
    <t>3O44756598</t>
  </si>
  <si>
    <t>MONICA MENDOZA</t>
  </si>
  <si>
    <t>BÚSQUEDA</t>
  </si>
  <si>
    <t>4TO DE SECUNDARIA</t>
  </si>
  <si>
    <t>DIEGO DE BERDUCCY</t>
  </si>
  <si>
    <t>FABRIZIO</t>
  </si>
  <si>
    <t>BONADONA</t>
  </si>
  <si>
    <t>DESAFÍO</t>
  </si>
  <si>
    <t>MACELO QUIROGA SANTA CRUZ "B"</t>
  </si>
  <si>
    <t>6TO DE SECUNDARIA</t>
  </si>
  <si>
    <t>3O4Q999556</t>
  </si>
  <si>
    <t>BECA HERMANO</t>
  </si>
  <si>
    <t>ESTHER BONADONA</t>
  </si>
  <si>
    <t>GIULIANNA</t>
  </si>
  <si>
    <t>LUCÍA</t>
  </si>
  <si>
    <t>HUGUES SCHOOL</t>
  </si>
  <si>
    <t>LLANOS</t>
  </si>
  <si>
    <t>SAN ANTONIO MARÍA DE CLARET</t>
  </si>
  <si>
    <t>3O4Q146649</t>
  </si>
  <si>
    <t>BERNARDINA LLANOS</t>
  </si>
  <si>
    <t>DELGADILLO</t>
  </si>
  <si>
    <t>30-0410</t>
  </si>
  <si>
    <t>SANTA ANA</t>
  </si>
  <si>
    <t>3O4D108557</t>
  </si>
  <si>
    <t>DAYSI GAMARRA</t>
  </si>
  <si>
    <t>SCHEREZADE</t>
  </si>
  <si>
    <t>ARANZA</t>
  </si>
  <si>
    <t>CARDOSO</t>
  </si>
  <si>
    <t>3O4Q346170</t>
  </si>
  <si>
    <t>NATTY FLORES</t>
  </si>
  <si>
    <t>LIZÁRRAGA</t>
  </si>
  <si>
    <t>DE SOUZA</t>
  </si>
  <si>
    <t>CARMEN ORRUEL DE VERDUGUEZ</t>
  </si>
  <si>
    <t>3O4Q346546</t>
  </si>
  <si>
    <t>AIME DE SOUZA</t>
  </si>
  <si>
    <t>JORGE</t>
  </si>
  <si>
    <t>PÉREZ</t>
  </si>
  <si>
    <t>ROCABADO</t>
  </si>
  <si>
    <t>DESPERTAD</t>
  </si>
  <si>
    <t>SUSANA ROCABADO</t>
  </si>
  <si>
    <t>GABRIEL</t>
  </si>
  <si>
    <t>MONTALVO</t>
  </si>
  <si>
    <t>NUESTRA SEÑORA DE URKUPIÑA</t>
  </si>
  <si>
    <t>VIVIANNE ROCHA</t>
  </si>
  <si>
    <t>HEROES DE BOQUERÓN</t>
  </si>
  <si>
    <t>SANDRINE MAES</t>
  </si>
  <si>
    <t>ESCLAVAS DE SAGRADO CORAZÓN DE JESÚS</t>
  </si>
  <si>
    <t>6983-8095842</t>
  </si>
  <si>
    <t>JHEIMY GRAGEDA</t>
  </si>
  <si>
    <t>LAURA</t>
  </si>
  <si>
    <t>CONSTANTINO I</t>
  </si>
  <si>
    <t>6TO DE SECUNDARIS</t>
  </si>
  <si>
    <t>SUEMI MENDIZABAL</t>
  </si>
  <si>
    <t>SAN IGNACIO DE LOYOLA</t>
  </si>
  <si>
    <t>3O61933085</t>
  </si>
  <si>
    <t>LAURA CAMACHO</t>
  </si>
  <si>
    <t>3O61934144</t>
  </si>
  <si>
    <t>RICARDO</t>
  </si>
  <si>
    <t>PPANDA</t>
  </si>
  <si>
    <t>MILENKA VARGAS</t>
  </si>
  <si>
    <t>CAMILA</t>
  </si>
  <si>
    <t>BIANCA</t>
  </si>
  <si>
    <t>CÁRDENAS</t>
  </si>
  <si>
    <t>ISAAC ATTIE</t>
  </si>
  <si>
    <t>3O6Q376792</t>
  </si>
  <si>
    <t>FERNANDO CÁRDENAS</t>
  </si>
  <si>
    <t>MONTAÑÉS</t>
  </si>
  <si>
    <t>JIMÉNEZ</t>
  </si>
  <si>
    <t>ALEJANDRA JIMÉNEZ</t>
  </si>
  <si>
    <t>JHOJAIRO</t>
  </si>
  <si>
    <t>ANDRU</t>
  </si>
  <si>
    <t>SILVESTRE</t>
  </si>
  <si>
    <t>SAINT ANDREWS</t>
  </si>
  <si>
    <t>ANDRU RODRÍGUEZ</t>
  </si>
  <si>
    <t>IRIS</t>
  </si>
  <si>
    <t>TASHI</t>
  </si>
  <si>
    <t>BARRIOS</t>
  </si>
  <si>
    <t>TEMPLARIOS</t>
  </si>
  <si>
    <t>SEXTO DE SECUNDARIA</t>
  </si>
  <si>
    <t>Hora 23:32</t>
  </si>
  <si>
    <t>OSCAR (PAPÁ)</t>
  </si>
  <si>
    <t>NANDA</t>
  </si>
  <si>
    <t>TAIS</t>
  </si>
  <si>
    <t>LUJÁN</t>
  </si>
  <si>
    <t>SANDOVAL</t>
  </si>
  <si>
    <t>QUINTO DE SECUNDARIA</t>
  </si>
  <si>
    <t>CUARTO</t>
  </si>
  <si>
    <t>CARRIÓN</t>
  </si>
  <si>
    <t>BUSQUEDA</t>
  </si>
  <si>
    <t>CUARTO DE SECUNDARIA</t>
  </si>
  <si>
    <t>ANDRÉ</t>
  </si>
  <si>
    <t>GUZMÁN</t>
  </si>
  <si>
    <t>RODRÍGUEZ</t>
  </si>
  <si>
    <t>COLEGIO TIQUIPAYA</t>
  </si>
  <si>
    <t>Harold</t>
  </si>
  <si>
    <t>Jhamil</t>
  </si>
  <si>
    <t>Rodríguez</t>
  </si>
  <si>
    <t>TiTiChoca</t>
  </si>
  <si>
    <t>panda</t>
  </si>
  <si>
    <t>Destino</t>
  </si>
  <si>
    <t>CAMINANTE</t>
  </si>
  <si>
    <t>universidad San Simón</t>
  </si>
  <si>
    <t>ing Electromecánica - 3 er semestre</t>
  </si>
  <si>
    <t>mamá Rodríguez</t>
  </si>
  <si>
    <t>Maria</t>
  </si>
  <si>
    <t>Belen</t>
  </si>
  <si>
    <t>Angulo</t>
  </si>
  <si>
    <t>Bonadona</t>
  </si>
  <si>
    <t>ROVER</t>
  </si>
  <si>
    <t>universidad Católica Boliviana</t>
  </si>
  <si>
    <t>Diseño Digital Multimedia - 3 er semestre</t>
  </si>
  <si>
    <t>304Q999556</t>
  </si>
  <si>
    <t>tercer hermano</t>
  </si>
  <si>
    <t>María bonadona Beltrán mamá</t>
  </si>
  <si>
    <t>Alexia</t>
  </si>
  <si>
    <t>Adriana</t>
  </si>
  <si>
    <t>Aguilar</t>
  </si>
  <si>
    <t>Saavedra</t>
  </si>
  <si>
    <t>bambú</t>
  </si>
  <si>
    <t>psicólogia - 3 er semestre</t>
  </si>
  <si>
    <t>Yola mamá</t>
  </si>
  <si>
    <t>Adrian</t>
  </si>
  <si>
    <t>Loaiza</t>
  </si>
  <si>
    <t>Castro</t>
  </si>
  <si>
    <t>Ingeniería Empresarial - 5to semestre</t>
  </si>
  <si>
    <t>404R433463</t>
  </si>
  <si>
    <t>Judith Soto</t>
  </si>
  <si>
    <t>Fabiana</t>
  </si>
  <si>
    <t>Montserrat</t>
  </si>
  <si>
    <t>Beltran</t>
  </si>
  <si>
    <t>Viscarra</t>
  </si>
  <si>
    <t>bambu</t>
  </si>
  <si>
    <t>Caminante</t>
  </si>
  <si>
    <t>universidad Univalle</t>
  </si>
  <si>
    <t>Gastronomia - 5to semestre</t>
  </si>
  <si>
    <t>304R408054</t>
  </si>
  <si>
    <t>Fabricio Rodríguez</t>
  </si>
  <si>
    <t>BELEN</t>
  </si>
  <si>
    <t>PACHECO</t>
  </si>
  <si>
    <t>DESTINO</t>
  </si>
  <si>
    <t>UNIFRANZ</t>
  </si>
  <si>
    <t>PUBLICIDAD Y MARKETING - 4TO SEMESTRE</t>
  </si>
  <si>
    <t>ANDRE</t>
  </si>
  <si>
    <t>PEREZ</t>
  </si>
  <si>
    <t>ASPIRANTE</t>
  </si>
  <si>
    <t>UNIVERSIDAD CATOLICA</t>
  </si>
  <si>
    <t>MEDICINA - 1ER SEMESTRE</t>
  </si>
  <si>
    <t>Andrea</t>
  </si>
  <si>
    <t>Isabella</t>
  </si>
  <si>
    <t>Rivero</t>
  </si>
  <si>
    <t>Barrionuevo</t>
  </si>
  <si>
    <t>caminante</t>
  </si>
  <si>
    <t>universidad mayor san simon</t>
  </si>
  <si>
    <t>Arquitectura- 6semestre</t>
  </si>
  <si>
    <t>304Q268750</t>
  </si>
  <si>
    <t>mamá</t>
  </si>
  <si>
    <t>Bianca</t>
  </si>
  <si>
    <t>Angela</t>
  </si>
  <si>
    <t>aspirante</t>
  </si>
  <si>
    <t>universidad mayor de san simon</t>
  </si>
  <si>
    <t>odontología- 4 semestre</t>
  </si>
  <si>
    <t>34Q268750</t>
  </si>
  <si>
    <t>Alvaro</t>
  </si>
  <si>
    <t>Fabricio</t>
  </si>
  <si>
    <t>ciencias jurídicas -2 semestre</t>
  </si>
  <si>
    <t>Marcelo</t>
  </si>
  <si>
    <t>Cuellar</t>
  </si>
  <si>
    <t>Villalpando</t>
  </si>
  <si>
    <t>Rover</t>
  </si>
  <si>
    <t>Colegio militar de ingeniería</t>
  </si>
  <si>
    <t>Ing. sistemas electrónicos - 3 semestre</t>
  </si>
  <si>
    <t>teresa villalpando</t>
  </si>
  <si>
    <t>Diego</t>
  </si>
  <si>
    <t>Rafael</t>
  </si>
  <si>
    <t>Olmos</t>
  </si>
  <si>
    <t>Delgado</t>
  </si>
  <si>
    <t>Univalle</t>
  </si>
  <si>
    <t>gastronomía -6 semestre</t>
  </si>
  <si>
    <t>Mauricio Olmos papa</t>
  </si>
  <si>
    <t>Nivel de Formación</t>
  </si>
  <si>
    <t>SARED</t>
  </si>
  <si>
    <t>LUCIA</t>
  </si>
  <si>
    <t>ERICK</t>
  </si>
  <si>
    <t>RODRIGO</t>
  </si>
  <si>
    <t>VILLCA</t>
  </si>
  <si>
    <t>AYARACHI</t>
  </si>
  <si>
    <t>CARVAJAL</t>
  </si>
  <si>
    <t>ALVAREZ</t>
  </si>
  <si>
    <t>KOTIK</t>
  </si>
  <si>
    <t>IM I CURSADO</t>
  </si>
  <si>
    <t>ALEYDA</t>
  </si>
  <si>
    <t>MAMANI</t>
  </si>
  <si>
    <t>ARLETH</t>
  </si>
  <si>
    <t>MENESES</t>
  </si>
  <si>
    <t>HELEN</t>
  </si>
  <si>
    <t>BRENDA</t>
  </si>
  <si>
    <t>NAVIA</t>
  </si>
  <si>
    <t>NINA</t>
  </si>
  <si>
    <t>MELANY</t>
  </si>
  <si>
    <t>JORDANA</t>
  </si>
  <si>
    <t>CANO</t>
  </si>
  <si>
    <t>STEFANY</t>
  </si>
  <si>
    <t>CORTEZ</t>
  </si>
  <si>
    <t>IVANNA</t>
  </si>
  <si>
    <t>CORINA</t>
  </si>
  <si>
    <t>ENZO</t>
  </si>
  <si>
    <t>GONZALO</t>
  </si>
  <si>
    <t>TAPIA</t>
  </si>
  <si>
    <t>EGUEZ</t>
  </si>
  <si>
    <t>LUCAS</t>
  </si>
  <si>
    <t>FRANCISCO</t>
  </si>
  <si>
    <t>CAMILO</t>
  </si>
  <si>
    <t>BENAVENTE</t>
  </si>
  <si>
    <t>COVARRUBIAS</t>
  </si>
  <si>
    <t>HAROLD</t>
  </si>
  <si>
    <t>BERNARDO</t>
  </si>
  <si>
    <t>MENDEZ</t>
  </si>
  <si>
    <t>ANGÉLICA</t>
  </si>
  <si>
    <t>GUERRA</t>
  </si>
  <si>
    <t>ELIANA</t>
  </si>
  <si>
    <t>FERRUFINO</t>
  </si>
  <si>
    <t>BAMBU</t>
  </si>
  <si>
    <t>VIOLETA</t>
  </si>
  <si>
    <t>GUEVARA</t>
  </si>
  <si>
    <t>KARINA</t>
  </si>
  <si>
    <t>CUADROS</t>
  </si>
  <si>
    <t>AGUILAR</t>
  </si>
  <si>
    <t>SAAVEDRA</t>
  </si>
  <si>
    <t>RUBIELA</t>
  </si>
  <si>
    <t>LUZ</t>
  </si>
  <si>
    <t>AIME</t>
  </si>
  <si>
    <t>FIORILO</t>
  </si>
  <si>
    <t>MANUEL</t>
  </si>
  <si>
    <t>HERBAS</t>
  </si>
  <si>
    <t>ALDUNATE</t>
  </si>
  <si>
    <t>JIMMY</t>
  </si>
  <si>
    <t>EDSON</t>
  </si>
  <si>
    <t>ALCOCER</t>
  </si>
  <si>
    <t>LUIS</t>
  </si>
  <si>
    <t>MERIDA</t>
  </si>
  <si>
    <t>RUBY</t>
  </si>
  <si>
    <t>NICOLE</t>
  </si>
  <si>
    <t>TORREZ</t>
  </si>
  <si>
    <t>GIAN</t>
  </si>
  <si>
    <t>MARCO</t>
  </si>
  <si>
    <t>CARO</t>
  </si>
  <si>
    <t>NATALIA</t>
  </si>
  <si>
    <t>MARIA</t>
  </si>
  <si>
    <t>THERESA</t>
  </si>
  <si>
    <t>LEDEZMA</t>
  </si>
  <si>
    <t>JESSICA</t>
  </si>
  <si>
    <t>FADHUA</t>
  </si>
  <si>
    <t>VERDUGUEZ</t>
  </si>
  <si>
    <t>KOUSSET</t>
  </si>
  <si>
    <t>CORONADO</t>
  </si>
  <si>
    <t>NIRZA</t>
  </si>
  <si>
    <t>YHESSICA</t>
  </si>
  <si>
    <t>LORENA</t>
  </si>
  <si>
    <t>JAEL</t>
  </si>
  <si>
    <t>ALEJANDREZ</t>
  </si>
  <si>
    <t>BLOCH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</si>
</sst>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/mm/yyyy"/>
    <numFmt numFmtId="165" formatCode="d\-m\-yy"/>
    <numFmt numFmtId="166" formatCode="dd\-mm\-yy"/>
    <numFmt numFmtId="167" formatCode="dd\-mm\-yyyy"/>
    <numFmt numFmtId="168" formatCode="dd&quot;-&quot;mm&quot;-&quot;yy"/>
    <numFmt numFmtId="169" formatCode="dd\-mm\-yyyy\ h:mm"/>
    <numFmt numFmtId="170" formatCode="dd/mm/yyyy\ h:mm:ss"/>
    <numFmt numFmtId="171" formatCode="d\-m\-yyyy"/>
    <numFmt numFmtId="172" formatCode="dd/mm/yyyy"/>
  </numFmts>
  <fonts count="23" x14ac:knownFonts="1">
    <font>
      <sz val="10"/>
      <color rgb="FF000000"/>
      <name val="Arial"/>
      <scheme val="minor"/>
    </font>
    <font>
      <b/>
      <sz val="13"/>
      <color rgb="FF000000"/>
      <name val="Arial"/>
    </font>
    <font>
      <b/>
      <sz val="2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11"/>
      <color rgb="FF000000"/>
      <name val="Arial"/>
    </font>
    <font>
      <sz val="10"/>
      <name val="Arial"/>
    </font>
    <font>
      <b/>
      <sz val="10"/>
      <color rgb="FF000000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FFFFFF"/>
      <name val="Arial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rgb="FFFFFFFF"/>
      <name val="Arial"/>
    </font>
    <font>
      <sz val="10"/>
      <color rgb="FF000000"/>
      <name val="Arial"/>
    </font>
    <font>
      <sz val="11"/>
      <color rgb="FFFFFFFF"/>
      <name val="Calibri"/>
    </font>
    <font>
      <sz val="11"/>
      <color theme="1"/>
      <name val="Calibri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9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E06666"/>
        <bgColor rgb="FFE06666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20124D"/>
        <bgColor rgb="FF20124D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8E7CC3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 wrapText="1"/>
    </xf>
    <xf numFmtId="0" fontId="9" fillId="6" borderId="0" xfId="0" applyFont="1" applyFill="1"/>
    <xf numFmtId="0" fontId="10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0" fontId="12" fillId="6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67" fontId="11" fillId="0" borderId="0" xfId="0" applyNumberFormat="1" applyFont="1" applyAlignment="1">
      <alignment horizontal="center"/>
    </xf>
    <xf numFmtId="0" fontId="13" fillId="6" borderId="0" xfId="0" applyFont="1" applyFill="1" applyAlignment="1">
      <alignment horizontal="center"/>
    </xf>
    <xf numFmtId="168" fontId="3" fillId="0" borderId="0" xfId="0" applyNumberFormat="1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horizontal="center"/>
    </xf>
    <xf numFmtId="0" fontId="9" fillId="7" borderId="0" xfId="0" applyFont="1" applyFill="1"/>
    <xf numFmtId="0" fontId="13" fillId="7" borderId="0" xfId="0" applyFont="1" applyFill="1" applyAlignment="1">
      <alignment horizontal="center"/>
    </xf>
    <xf numFmtId="0" fontId="11" fillId="0" borderId="0" xfId="0" applyFont="1"/>
    <xf numFmtId="0" fontId="9" fillId="2" borderId="0" xfId="0" applyFont="1" applyFill="1"/>
    <xf numFmtId="0" fontId="14" fillId="8" borderId="0" xfId="0" applyFont="1" applyFill="1" applyAlignment="1">
      <alignment horizontal="center"/>
    </xf>
    <xf numFmtId="169" fontId="9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166" fontId="9" fillId="2" borderId="0" xfId="0" applyNumberFormat="1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170" fontId="9" fillId="0" borderId="0" xfId="0" applyNumberFormat="1" applyFont="1" applyAlignment="1">
      <alignment horizontal="center"/>
    </xf>
    <xf numFmtId="0" fontId="15" fillId="9" borderId="0" xfId="0" applyFont="1" applyFill="1" applyAlignment="1">
      <alignment horizontal="center" wrapText="1"/>
    </xf>
    <xf numFmtId="0" fontId="16" fillId="2" borderId="0" xfId="0" applyFont="1" applyFill="1" applyAlignment="1">
      <alignment horizontal="center" wrapText="1"/>
    </xf>
    <xf numFmtId="164" fontId="16" fillId="2" borderId="0" xfId="0" applyNumberFormat="1" applyFont="1" applyFill="1" applyAlignment="1">
      <alignment horizontal="center" wrapText="1"/>
    </xf>
    <xf numFmtId="166" fontId="16" fillId="2" borderId="0" xfId="0" applyNumberFormat="1" applyFont="1" applyFill="1" applyAlignment="1">
      <alignment horizontal="center" wrapText="1"/>
    </xf>
    <xf numFmtId="171" fontId="3" fillId="2" borderId="0" xfId="0" applyNumberFormat="1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14" fontId="9" fillId="0" borderId="0" xfId="0" applyNumberFormat="1" applyFont="1" applyAlignment="1">
      <alignment horizontal="center"/>
    </xf>
    <xf numFmtId="0" fontId="16" fillId="11" borderId="0" xfId="0" applyFont="1" applyFill="1" applyAlignment="1">
      <alignment horizontal="center" wrapText="1"/>
    </xf>
    <xf numFmtId="168" fontId="16" fillId="11" borderId="0" xfId="0" applyNumberFormat="1" applyFont="1" applyFill="1" applyAlignment="1">
      <alignment horizontal="center" wrapText="1"/>
    </xf>
    <xf numFmtId="0" fontId="3" fillId="11" borderId="0" xfId="0" applyFont="1" applyFill="1" applyAlignment="1">
      <alignment horizontal="center"/>
    </xf>
    <xf numFmtId="172" fontId="3" fillId="11" borderId="0" xfId="0" applyNumberFormat="1" applyFont="1" applyFill="1" applyAlignment="1">
      <alignment horizontal="center"/>
    </xf>
    <xf numFmtId="0" fontId="14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7" fillId="4" borderId="1" xfId="0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14" fontId="17" fillId="0" borderId="8" xfId="0" applyNumberFormat="1" applyFont="1" applyBorder="1" applyAlignment="1">
      <alignment horizontal="center" wrapText="1"/>
    </xf>
    <xf numFmtId="14" fontId="17" fillId="0" borderId="7" xfId="0" applyNumberFormat="1" applyFont="1" applyBorder="1" applyAlignment="1">
      <alignment horizontal="center" wrapText="1"/>
    </xf>
    <xf numFmtId="0" fontId="17" fillId="0" borderId="7" xfId="0" applyFont="1" applyBorder="1" applyAlignment="1">
      <alignment wrapText="1"/>
    </xf>
    <xf numFmtId="0" fontId="17" fillId="12" borderId="9" xfId="0" applyFont="1" applyFill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14" fontId="17" fillId="0" borderId="10" xfId="0" applyNumberFormat="1" applyFont="1" applyBorder="1" applyAlignment="1">
      <alignment horizontal="center" wrapText="1"/>
    </xf>
    <xf numFmtId="14" fontId="17" fillId="0" borderId="9" xfId="0" applyNumberFormat="1" applyFont="1" applyBorder="1" applyAlignment="1">
      <alignment horizontal="center" wrapText="1"/>
    </xf>
    <xf numFmtId="0" fontId="17" fillId="0" borderId="9" xfId="0" applyFont="1" applyBorder="1" applyAlignment="1">
      <alignment wrapText="1"/>
    </xf>
    <xf numFmtId="0" fontId="17" fillId="0" borderId="9" xfId="0" applyFont="1" applyBorder="1" applyAlignment="1">
      <alignment horizontal="center" vertical="center" wrapText="1"/>
    </xf>
    <xf numFmtId="0" fontId="17" fillId="13" borderId="9" xfId="0" applyFont="1" applyFill="1" applyBorder="1" applyAlignment="1">
      <alignment horizontal="center" wrapText="1"/>
    </xf>
    <xf numFmtId="0" fontId="17" fillId="14" borderId="9" xfId="0" applyFont="1" applyFill="1" applyBorder="1" applyAlignment="1">
      <alignment horizontal="center" wrapText="1"/>
    </xf>
    <xf numFmtId="0" fontId="17" fillId="15" borderId="9" xfId="0" applyFont="1" applyFill="1" applyBorder="1" applyAlignment="1">
      <alignment horizontal="center" wrapText="1"/>
    </xf>
    <xf numFmtId="0" fontId="17" fillId="15" borderId="9" xfId="0" applyFont="1" applyFill="1" applyBorder="1" applyAlignment="1">
      <alignment wrapText="1"/>
    </xf>
    <xf numFmtId="14" fontId="17" fillId="15" borderId="9" xfId="0" applyNumberFormat="1" applyFont="1" applyFill="1" applyBorder="1" applyAlignment="1">
      <alignment horizontal="center" wrapText="1"/>
    </xf>
    <xf numFmtId="0" fontId="17" fillId="16" borderId="9" xfId="0" applyFont="1" applyFill="1" applyBorder="1" applyAlignment="1">
      <alignment horizontal="center" wrapText="1"/>
    </xf>
    <xf numFmtId="0" fontId="17" fillId="17" borderId="9" xfId="0" applyFont="1" applyFill="1" applyBorder="1" applyAlignment="1">
      <alignment horizontal="center" wrapText="1"/>
    </xf>
    <xf numFmtId="0" fontId="17" fillId="17" borderId="9" xfId="0" applyFont="1" applyFill="1" applyBorder="1" applyAlignment="1">
      <alignment wrapText="1"/>
    </xf>
    <xf numFmtId="14" fontId="17" fillId="17" borderId="9" xfId="0" applyNumberFormat="1" applyFont="1" applyFill="1" applyBorder="1" applyAlignment="1">
      <alignment horizontal="center" wrapText="1"/>
    </xf>
    <xf numFmtId="0" fontId="17" fillId="12" borderId="7" xfId="0" applyFont="1" applyFill="1" applyBorder="1" applyAlignment="1">
      <alignment horizontal="center" vertical="center" wrapText="1"/>
    </xf>
    <xf numFmtId="0" fontId="17" fillId="18" borderId="7" xfId="0" applyFont="1" applyFill="1" applyBorder="1" applyAlignment="1">
      <alignment horizontal="center" vertical="center" wrapText="1"/>
    </xf>
    <xf numFmtId="14" fontId="17" fillId="18" borderId="7" xfId="0" applyNumberFormat="1" applyFont="1" applyFill="1" applyBorder="1" applyAlignment="1">
      <alignment horizontal="center" vertical="center" wrapText="1"/>
    </xf>
    <xf numFmtId="11" fontId="17" fillId="19" borderId="7" xfId="0" applyNumberFormat="1" applyFont="1" applyFill="1" applyBorder="1" applyAlignment="1">
      <alignment horizontal="center" vertical="center" wrapText="1"/>
    </xf>
    <xf numFmtId="14" fontId="17" fillId="19" borderId="7" xfId="0" applyNumberFormat="1" applyFont="1" applyFill="1" applyBorder="1" applyAlignment="1">
      <alignment horizontal="center" vertical="center" wrapText="1"/>
    </xf>
    <xf numFmtId="0" fontId="17" fillId="19" borderId="7" xfId="0" applyFont="1" applyFill="1" applyBorder="1" applyAlignment="1">
      <alignment horizontal="center" vertical="center" wrapText="1"/>
    </xf>
    <xf numFmtId="0" fontId="17" fillId="20" borderId="7" xfId="0" applyFont="1" applyFill="1" applyBorder="1" applyAlignment="1">
      <alignment horizontal="center" vertical="center" wrapText="1"/>
    </xf>
    <xf numFmtId="0" fontId="17" fillId="12" borderId="9" xfId="0" applyFont="1" applyFill="1" applyBorder="1" applyAlignment="1">
      <alignment horizontal="center" vertical="center" wrapText="1"/>
    </xf>
    <xf numFmtId="0" fontId="18" fillId="18" borderId="9" xfId="0" applyFont="1" applyFill="1" applyBorder="1" applyAlignment="1">
      <alignment horizontal="center" vertical="center" wrapText="1"/>
    </xf>
    <xf numFmtId="0" fontId="17" fillId="18" borderId="9" xfId="0" applyFont="1" applyFill="1" applyBorder="1" applyAlignment="1">
      <alignment horizontal="center" vertical="center" wrapText="1"/>
    </xf>
    <xf numFmtId="14" fontId="17" fillId="18" borderId="9" xfId="0" applyNumberFormat="1" applyFont="1" applyFill="1" applyBorder="1" applyAlignment="1">
      <alignment horizontal="center" vertical="center" wrapText="1"/>
    </xf>
    <xf numFmtId="0" fontId="17" fillId="19" borderId="9" xfId="0" applyFont="1" applyFill="1" applyBorder="1" applyAlignment="1">
      <alignment horizontal="center" vertical="center" wrapText="1"/>
    </xf>
    <xf numFmtId="14" fontId="17" fillId="19" borderId="9" xfId="0" applyNumberFormat="1" applyFont="1" applyFill="1" applyBorder="1" applyAlignment="1">
      <alignment horizontal="center" vertical="center" wrapText="1"/>
    </xf>
    <xf numFmtId="0" fontId="17" fillId="20" borderId="9" xfId="0" applyFont="1" applyFill="1" applyBorder="1" applyAlignment="1">
      <alignment horizontal="center" vertical="center" wrapText="1"/>
    </xf>
    <xf numFmtId="0" fontId="17" fillId="18" borderId="9" xfId="0" applyFont="1" applyFill="1" applyBorder="1" applyAlignment="1">
      <alignment vertical="center" wrapText="1"/>
    </xf>
    <xf numFmtId="0" fontId="17" fillId="19" borderId="9" xfId="0" applyFont="1" applyFill="1" applyBorder="1" applyAlignment="1">
      <alignment horizontal="center" wrapText="1"/>
    </xf>
    <xf numFmtId="0" fontId="17" fillId="14" borderId="9" xfId="0" applyFont="1" applyFill="1" applyBorder="1" applyAlignment="1">
      <alignment horizontal="center" vertical="center" wrapText="1"/>
    </xf>
    <xf numFmtId="0" fontId="17" fillId="20" borderId="9" xfId="0" applyFont="1" applyFill="1" applyBorder="1" applyAlignment="1">
      <alignment horizontal="center" wrapText="1"/>
    </xf>
    <xf numFmtId="0" fontId="17" fillId="15" borderId="9" xfId="0" applyFont="1" applyFill="1" applyBorder="1" applyAlignment="1">
      <alignment horizontal="center" vertical="center" wrapText="1"/>
    </xf>
    <xf numFmtId="0" fontId="17" fillId="15" borderId="9" xfId="0" applyFont="1" applyFill="1" applyBorder="1" applyAlignment="1">
      <alignment vertical="center" wrapText="1"/>
    </xf>
    <xf numFmtId="14" fontId="20" fillId="21" borderId="7" xfId="0" applyNumberFormat="1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right" wrapText="1"/>
    </xf>
    <xf numFmtId="14" fontId="20" fillId="21" borderId="9" xfId="0" applyNumberFormat="1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right" wrapText="1"/>
    </xf>
    <xf numFmtId="0" fontId="18" fillId="0" borderId="9" xfId="0" applyFont="1" applyBorder="1" applyAlignment="1">
      <alignment horizontal="center" wrapText="1"/>
    </xf>
    <xf numFmtId="14" fontId="20" fillId="0" borderId="9" xfId="0" applyNumberFormat="1" applyFont="1" applyBorder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0" fontId="17" fillId="21" borderId="9" xfId="0" applyFont="1" applyFill="1" applyBorder="1" applyAlignment="1">
      <alignment horizontal="center" wrapText="1"/>
    </xf>
    <xf numFmtId="14" fontId="17" fillId="21" borderId="9" xfId="0" applyNumberFormat="1" applyFont="1" applyFill="1" applyBorder="1" applyAlignment="1">
      <alignment horizontal="center" wrapText="1"/>
    </xf>
    <xf numFmtId="0" fontId="17" fillId="21" borderId="9" xfId="0" applyFont="1" applyFill="1" applyBorder="1" applyAlignment="1">
      <alignment wrapText="1"/>
    </xf>
    <xf numFmtId="0" fontId="17" fillId="21" borderId="9" xfId="0" applyFont="1" applyFill="1" applyBorder="1" applyAlignment="1">
      <alignment horizontal="right" wrapText="1"/>
    </xf>
    <xf numFmtId="14" fontId="20" fillId="15" borderId="9" xfId="0" applyNumberFormat="1" applyFont="1" applyFill="1" applyBorder="1" applyAlignment="1">
      <alignment horizontal="center" vertical="center" wrapText="1"/>
    </xf>
    <xf numFmtId="0" fontId="17" fillId="15" borderId="9" xfId="0" applyFont="1" applyFill="1" applyBorder="1" applyAlignment="1">
      <alignment horizontal="right" wrapText="1"/>
    </xf>
    <xf numFmtId="14" fontId="20" fillId="21" borderId="9" xfId="0" applyNumberFormat="1" applyFont="1" applyFill="1" applyBorder="1" applyAlignment="1">
      <alignment horizontal="center" wrapText="1"/>
    </xf>
    <xf numFmtId="0" fontId="17" fillId="22" borderId="9" xfId="0" applyFont="1" applyFill="1" applyBorder="1" applyAlignment="1">
      <alignment horizontal="center" wrapText="1"/>
    </xf>
    <xf numFmtId="14" fontId="20" fillId="22" borderId="9" xfId="0" applyNumberFormat="1" applyFont="1" applyFill="1" applyBorder="1" applyAlignment="1">
      <alignment horizontal="center" wrapText="1"/>
    </xf>
    <xf numFmtId="14" fontId="17" fillId="22" borderId="9" xfId="0" applyNumberFormat="1" applyFont="1" applyFill="1" applyBorder="1" applyAlignment="1">
      <alignment horizontal="center" wrapText="1"/>
    </xf>
    <xf numFmtId="0" fontId="17" fillId="22" borderId="9" xfId="0" applyFont="1" applyFill="1" applyBorder="1" applyAlignment="1">
      <alignment wrapText="1"/>
    </xf>
    <xf numFmtId="0" fontId="17" fillId="22" borderId="9" xfId="0" applyFont="1" applyFill="1" applyBorder="1" applyAlignment="1">
      <alignment horizontal="right" wrapText="1"/>
    </xf>
    <xf numFmtId="0" fontId="17" fillId="15" borderId="11" xfId="0" applyFont="1" applyFill="1" applyBorder="1" applyAlignment="1">
      <alignment horizontal="center" wrapText="1"/>
    </xf>
    <xf numFmtId="0" fontId="17" fillId="15" borderId="12" xfId="0" applyFont="1" applyFill="1" applyBorder="1" applyAlignment="1">
      <alignment horizontal="center" wrapText="1"/>
    </xf>
    <xf numFmtId="0" fontId="17" fillId="15" borderId="13" xfId="0" applyFont="1" applyFill="1" applyBorder="1" applyAlignment="1">
      <alignment horizontal="center" wrapText="1"/>
    </xf>
    <xf numFmtId="0" fontId="17" fillId="0" borderId="9" xfId="0" applyFont="1" applyBorder="1" applyAlignment="1">
      <alignment vertical="center" wrapText="1"/>
    </xf>
    <xf numFmtId="0" fontId="17" fillId="0" borderId="8" xfId="0" applyFont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21" fillId="0" borderId="7" xfId="0" applyFont="1" applyBorder="1" applyAlignment="1">
      <alignment horizontal="center" wrapText="1"/>
    </xf>
    <xf numFmtId="0" fontId="21" fillId="0" borderId="9" xfId="0" applyFont="1" applyBorder="1" applyAlignment="1">
      <alignment horizontal="center" wrapText="1"/>
    </xf>
    <xf numFmtId="0" fontId="17" fillId="12" borderId="7" xfId="0" applyFont="1" applyFill="1" applyBorder="1" applyAlignment="1">
      <alignment horizontal="right" wrapText="1"/>
    </xf>
    <xf numFmtId="14" fontId="17" fillId="0" borderId="7" xfId="0" applyNumberFormat="1" applyFont="1" applyBorder="1" applyAlignment="1">
      <alignment horizontal="right" wrapText="1"/>
    </xf>
    <xf numFmtId="11" fontId="17" fillId="0" borderId="7" xfId="0" applyNumberFormat="1" applyFont="1" applyBorder="1" applyAlignment="1">
      <alignment horizontal="right" wrapText="1"/>
    </xf>
    <xf numFmtId="0" fontId="17" fillId="12" borderId="9" xfId="0" applyFont="1" applyFill="1" applyBorder="1" applyAlignment="1">
      <alignment horizontal="right" wrapText="1"/>
    </xf>
    <xf numFmtId="14" fontId="17" fillId="0" borderId="9" xfId="0" applyNumberFormat="1" applyFont="1" applyBorder="1" applyAlignment="1">
      <alignment horizontal="right" wrapText="1"/>
    </xf>
    <xf numFmtId="0" fontId="17" fillId="13" borderId="9" xfId="0" applyFont="1" applyFill="1" applyBorder="1" applyAlignment="1">
      <alignment horizontal="right" wrapText="1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wrapText="1"/>
    </xf>
    <xf numFmtId="0" fontId="17" fillId="23" borderId="9" xfId="0" applyFont="1" applyFill="1" applyBorder="1" applyAlignment="1">
      <alignment horizontal="right" wrapText="1"/>
    </xf>
    <xf numFmtId="0" fontId="17" fillId="23" borderId="9" xfId="0" applyFont="1" applyFill="1" applyBorder="1" applyAlignment="1">
      <alignment wrapText="1"/>
    </xf>
    <xf numFmtId="14" fontId="17" fillId="23" borderId="9" xfId="0" applyNumberFormat="1" applyFont="1" applyFill="1" applyBorder="1" applyAlignment="1">
      <alignment horizontal="right" wrapText="1"/>
    </xf>
    <xf numFmtId="0" fontId="17" fillId="23" borderId="10" xfId="0" applyFont="1" applyFill="1" applyBorder="1" applyAlignment="1">
      <alignment horizontal="center" wrapText="1"/>
    </xf>
    <xf numFmtId="0" fontId="17" fillId="23" borderId="9" xfId="0" applyFont="1" applyFill="1" applyBorder="1" applyAlignment="1">
      <alignment horizontal="center" wrapText="1"/>
    </xf>
    <xf numFmtId="0" fontId="17" fillId="24" borderId="16" xfId="0" applyFont="1" applyFill="1" applyBorder="1" applyAlignment="1">
      <alignment horizontal="center" vertical="center" wrapText="1"/>
    </xf>
    <xf numFmtId="0" fontId="17" fillId="24" borderId="14" xfId="0" applyFont="1" applyFill="1" applyBorder="1" applyAlignment="1">
      <alignment horizontal="center" vertical="center" wrapText="1"/>
    </xf>
    <xf numFmtId="0" fontId="17" fillId="24" borderId="15" xfId="0" applyFont="1" applyFill="1" applyBorder="1" applyAlignment="1">
      <alignment horizontal="center" vertical="center" wrapText="1"/>
    </xf>
    <xf numFmtId="0" fontId="22" fillId="25" borderId="17" xfId="0" applyFont="1" applyFill="1" applyBorder="1" applyAlignment="1">
      <alignment horizontal="center" vertical="center" wrapText="1"/>
    </xf>
    <xf numFmtId="0" fontId="22" fillId="25" borderId="18" xfId="0" applyFont="1" applyFill="1" applyBorder="1" applyAlignment="1">
      <alignment horizontal="center" vertical="center" wrapText="1"/>
    </xf>
    <xf numFmtId="0" fontId="17" fillId="16" borderId="9" xfId="0" applyFont="1" applyFill="1" applyBorder="1" applyAlignment="1">
      <alignment wrapText="1"/>
    </xf>
    <xf numFmtId="0" fontId="17" fillId="16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  <pageSetUpPr fitToPage="1"/>
  </sheetPr>
  <dimension ref="A1:T171"/>
  <sheetViews>
    <sheetView workbookViewId="0">
      <pane ySplit="2" topLeftCell="A148" activePane="bottomLeft" state="frozen"/>
      <selection pane="bottomLeft" activeCell="A155" sqref="A155:A171"/>
    </sheetView>
  </sheetViews>
  <sheetFormatPr baseColWidth="10" defaultColWidth="12.5703125" defaultRowHeight="15.75" customHeight="1" x14ac:dyDescent="0.2"/>
  <cols>
    <col min="1" max="1" width="8.140625" customWidth="1"/>
    <col min="2" max="2" width="16.85546875" customWidth="1"/>
    <col min="3" max="5" width="16.42578125" customWidth="1"/>
    <col min="6" max="6" width="16.5703125" customWidth="1"/>
    <col min="7" max="7" width="15.42578125" customWidth="1"/>
    <col min="8" max="8" width="11.42578125" customWidth="1"/>
    <col min="9" max="9" width="17.42578125" customWidth="1"/>
    <col min="11" max="11" width="17.28515625" customWidth="1"/>
    <col min="12" max="12" width="31.140625" customWidth="1"/>
    <col min="13" max="13" width="35.42578125" customWidth="1"/>
    <col min="14" max="19" width="18.7109375" customWidth="1"/>
  </cols>
  <sheetData>
    <row r="1" spans="1:19" ht="70.5" customHeight="1" x14ac:dyDescent="0.2">
      <c r="A1" s="51" t="s">
        <v>0</v>
      </c>
      <c r="B1" s="52"/>
      <c r="C1" s="52"/>
      <c r="D1" s="1"/>
      <c r="E1" s="1" t="s">
        <v>1</v>
      </c>
      <c r="G1" s="53" t="s">
        <v>2</v>
      </c>
      <c r="H1" s="52"/>
      <c r="I1" s="52"/>
      <c r="J1" s="2"/>
      <c r="K1" s="2"/>
      <c r="L1" s="3"/>
      <c r="M1" s="3"/>
      <c r="N1" s="54" t="s">
        <v>3</v>
      </c>
      <c r="O1" s="55"/>
      <c r="P1" s="55"/>
      <c r="Q1" s="56"/>
      <c r="R1" s="57" t="s">
        <v>4</v>
      </c>
      <c r="S1" s="56"/>
    </row>
    <row r="2" spans="1:19" ht="42" customHeight="1" x14ac:dyDescent="0.2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7" t="s">
        <v>11</v>
      </c>
      <c r="H2" s="6" t="s">
        <v>12</v>
      </c>
      <c r="I2" s="6" t="s">
        <v>13</v>
      </c>
      <c r="J2" s="6" t="s">
        <v>14</v>
      </c>
      <c r="K2" s="5" t="s">
        <v>15</v>
      </c>
      <c r="L2" s="6" t="s">
        <v>16</v>
      </c>
      <c r="M2" s="6" t="s">
        <v>17</v>
      </c>
      <c r="N2" s="8" t="s">
        <v>18</v>
      </c>
      <c r="O2" s="8" t="s">
        <v>19</v>
      </c>
      <c r="P2" s="8" t="s">
        <v>20</v>
      </c>
      <c r="Q2" s="8" t="s">
        <v>21</v>
      </c>
      <c r="R2" s="9" t="s">
        <v>22</v>
      </c>
      <c r="S2" s="9" t="s">
        <v>23</v>
      </c>
    </row>
    <row r="3" spans="1:19" ht="12.75" x14ac:dyDescent="0.2">
      <c r="A3" s="10">
        <v>1</v>
      </c>
      <c r="B3" s="11">
        <v>14262739</v>
      </c>
      <c r="C3" s="12" t="s">
        <v>24</v>
      </c>
      <c r="D3" s="12" t="s">
        <v>25</v>
      </c>
      <c r="E3" s="12" t="s">
        <v>26</v>
      </c>
      <c r="F3" s="12" t="s">
        <v>27</v>
      </c>
      <c r="G3" s="13">
        <v>40667</v>
      </c>
      <c r="H3" s="12" t="s">
        <v>28</v>
      </c>
      <c r="I3" s="12" t="s">
        <v>29</v>
      </c>
      <c r="J3" s="12" t="s">
        <v>30</v>
      </c>
      <c r="K3" s="12" t="s">
        <v>31</v>
      </c>
      <c r="L3" s="12" t="s">
        <v>32</v>
      </c>
      <c r="M3" s="12" t="s">
        <v>33</v>
      </c>
      <c r="N3" s="14" t="s">
        <v>34</v>
      </c>
      <c r="O3" s="15">
        <v>45750</v>
      </c>
      <c r="P3" s="14">
        <v>120</v>
      </c>
      <c r="Q3" s="16" t="s">
        <v>35</v>
      </c>
      <c r="R3" s="16" t="s">
        <v>36</v>
      </c>
      <c r="S3" s="16">
        <v>70357973</v>
      </c>
    </row>
    <row r="4" spans="1:19" ht="12.75" x14ac:dyDescent="0.2">
      <c r="A4" s="10">
        <f t="shared" ref="A4:A58" si="0">A3+1</f>
        <v>2</v>
      </c>
      <c r="B4" s="17">
        <v>9474279</v>
      </c>
      <c r="C4" s="18" t="s">
        <v>37</v>
      </c>
      <c r="D4" s="18" t="s">
        <v>38</v>
      </c>
      <c r="E4" s="18" t="s">
        <v>39</v>
      </c>
      <c r="F4" s="18" t="s">
        <v>40</v>
      </c>
      <c r="G4" s="13">
        <v>40874</v>
      </c>
      <c r="H4" s="18" t="s">
        <v>41</v>
      </c>
      <c r="I4" s="18" t="s">
        <v>29</v>
      </c>
      <c r="J4" s="18" t="s">
        <v>30</v>
      </c>
      <c r="K4" s="18" t="s">
        <v>31</v>
      </c>
      <c r="L4" s="18" t="s">
        <v>42</v>
      </c>
      <c r="M4" s="18" t="s">
        <v>43</v>
      </c>
      <c r="N4" s="18" t="s">
        <v>44</v>
      </c>
      <c r="O4" s="19">
        <v>45769</v>
      </c>
      <c r="P4" s="18">
        <v>120</v>
      </c>
      <c r="Q4" s="16" t="s">
        <v>35</v>
      </c>
      <c r="R4" s="16" t="s">
        <v>45</v>
      </c>
      <c r="S4" s="16">
        <v>71740041</v>
      </c>
    </row>
    <row r="5" spans="1:19" ht="12.75" x14ac:dyDescent="0.2">
      <c r="A5" s="10">
        <f t="shared" si="0"/>
        <v>3</v>
      </c>
      <c r="B5" s="20">
        <v>12874820</v>
      </c>
      <c r="C5" s="18" t="s">
        <v>46</v>
      </c>
      <c r="D5" s="12" t="s">
        <v>47</v>
      </c>
      <c r="E5" s="12" t="s">
        <v>48</v>
      </c>
      <c r="F5" s="12" t="s">
        <v>48</v>
      </c>
      <c r="G5" s="13">
        <v>41213</v>
      </c>
      <c r="H5" s="12" t="s">
        <v>28</v>
      </c>
      <c r="I5" s="12" t="s">
        <v>29</v>
      </c>
      <c r="J5" s="12" t="s">
        <v>30</v>
      </c>
      <c r="K5" s="12" t="s">
        <v>49</v>
      </c>
      <c r="L5" s="12" t="s">
        <v>50</v>
      </c>
      <c r="M5" s="12" t="s">
        <v>51</v>
      </c>
      <c r="N5" s="14" t="s">
        <v>52</v>
      </c>
      <c r="O5" s="15">
        <v>45752</v>
      </c>
      <c r="P5" s="14">
        <v>275</v>
      </c>
      <c r="Q5" s="16" t="s">
        <v>35</v>
      </c>
      <c r="R5" s="16" t="s">
        <v>53</v>
      </c>
      <c r="S5" s="16">
        <v>73798361</v>
      </c>
    </row>
    <row r="6" spans="1:19" ht="12.75" x14ac:dyDescent="0.2">
      <c r="A6" s="10">
        <f t="shared" si="0"/>
        <v>4</v>
      </c>
      <c r="B6" s="20">
        <v>15034981</v>
      </c>
      <c r="C6" s="12" t="s">
        <v>54</v>
      </c>
      <c r="D6" s="12" t="s">
        <v>55</v>
      </c>
      <c r="E6" s="12" t="s">
        <v>56</v>
      </c>
      <c r="F6" s="12" t="s">
        <v>57</v>
      </c>
      <c r="G6" s="13">
        <v>41289</v>
      </c>
      <c r="H6" s="12" t="s">
        <v>41</v>
      </c>
      <c r="I6" s="12" t="s">
        <v>29</v>
      </c>
      <c r="J6" s="12" t="s">
        <v>30</v>
      </c>
      <c r="K6" s="12" t="s">
        <v>49</v>
      </c>
      <c r="L6" s="12" t="s">
        <v>58</v>
      </c>
      <c r="M6" s="12" t="s">
        <v>59</v>
      </c>
      <c r="N6" s="14" t="s">
        <v>60</v>
      </c>
      <c r="O6" s="15">
        <v>45769</v>
      </c>
      <c r="P6" s="14">
        <v>120</v>
      </c>
      <c r="Q6" s="16" t="s">
        <v>35</v>
      </c>
      <c r="R6" s="16" t="s">
        <v>61</v>
      </c>
      <c r="S6" s="16">
        <v>79741274</v>
      </c>
    </row>
    <row r="7" spans="1:19" ht="12.75" x14ac:dyDescent="0.2">
      <c r="A7" s="10">
        <f t="shared" si="0"/>
        <v>5</v>
      </c>
      <c r="B7" s="20">
        <v>14265398</v>
      </c>
      <c r="C7" s="12" t="s">
        <v>62</v>
      </c>
      <c r="D7" s="12" t="s">
        <v>63</v>
      </c>
      <c r="E7" s="12" t="s">
        <v>26</v>
      </c>
      <c r="F7" s="12" t="s">
        <v>64</v>
      </c>
      <c r="G7" s="13">
        <v>40706</v>
      </c>
      <c r="H7" s="12" t="s">
        <v>41</v>
      </c>
      <c r="I7" s="12" t="s">
        <v>29</v>
      </c>
      <c r="J7" s="12" t="s">
        <v>30</v>
      </c>
      <c r="K7" s="12" t="s">
        <v>31</v>
      </c>
      <c r="L7" s="12" t="s">
        <v>58</v>
      </c>
      <c r="M7" s="12" t="s">
        <v>65</v>
      </c>
      <c r="N7" s="14">
        <v>3047869148</v>
      </c>
      <c r="O7" s="15">
        <v>45754</v>
      </c>
      <c r="P7" s="14">
        <v>120</v>
      </c>
      <c r="Q7" s="16" t="s">
        <v>35</v>
      </c>
      <c r="R7" s="16" t="s">
        <v>66</v>
      </c>
      <c r="S7" s="16">
        <v>77978966</v>
      </c>
    </row>
    <row r="8" spans="1:19" ht="12.75" x14ac:dyDescent="0.2">
      <c r="A8" s="10">
        <f t="shared" si="0"/>
        <v>6</v>
      </c>
      <c r="B8" s="20">
        <v>14653669</v>
      </c>
      <c r="C8" s="12" t="s">
        <v>67</v>
      </c>
      <c r="D8" s="12" t="s">
        <v>68</v>
      </c>
      <c r="E8" s="12" t="s">
        <v>69</v>
      </c>
      <c r="F8" s="12" t="s">
        <v>70</v>
      </c>
      <c r="G8" s="21">
        <v>41674</v>
      </c>
      <c r="H8" s="12" t="s">
        <v>41</v>
      </c>
      <c r="I8" s="12" t="s">
        <v>29</v>
      </c>
      <c r="J8" s="12" t="s">
        <v>30</v>
      </c>
      <c r="K8" s="12" t="s">
        <v>71</v>
      </c>
      <c r="L8" s="12" t="s">
        <v>72</v>
      </c>
      <c r="M8" s="12" t="s">
        <v>73</v>
      </c>
      <c r="N8" s="14" t="s">
        <v>74</v>
      </c>
      <c r="O8" s="15">
        <v>45775</v>
      </c>
      <c r="P8" s="14">
        <v>120</v>
      </c>
      <c r="Q8" s="16" t="s">
        <v>35</v>
      </c>
      <c r="R8" s="16" t="s">
        <v>75</v>
      </c>
      <c r="S8" s="16">
        <v>67440305</v>
      </c>
    </row>
    <row r="9" spans="1:19" ht="12.75" x14ac:dyDescent="0.2">
      <c r="A9" s="10">
        <f t="shared" si="0"/>
        <v>7</v>
      </c>
      <c r="B9" s="20">
        <v>14761548</v>
      </c>
      <c r="C9" s="12" t="s">
        <v>76</v>
      </c>
      <c r="D9" s="22" t="s">
        <v>77</v>
      </c>
      <c r="E9" s="12" t="s">
        <v>78</v>
      </c>
      <c r="F9" s="12" t="s">
        <v>79</v>
      </c>
      <c r="G9" s="23">
        <v>41133</v>
      </c>
      <c r="H9" s="12" t="s">
        <v>28</v>
      </c>
      <c r="I9" s="12" t="s">
        <v>29</v>
      </c>
      <c r="J9" s="12" t="s">
        <v>30</v>
      </c>
      <c r="K9" s="12" t="s">
        <v>49</v>
      </c>
      <c r="L9" s="12" t="s">
        <v>80</v>
      </c>
      <c r="M9" s="12" t="s">
        <v>81</v>
      </c>
      <c r="N9" s="14">
        <v>725042900009078</v>
      </c>
      <c r="O9" s="24">
        <v>45776</v>
      </c>
      <c r="P9" s="14">
        <v>120</v>
      </c>
      <c r="Q9" s="16" t="s">
        <v>35</v>
      </c>
      <c r="R9" s="16" t="s">
        <v>82</v>
      </c>
      <c r="S9" s="16">
        <v>59175945988</v>
      </c>
    </row>
    <row r="10" spans="1:19" ht="12.75" x14ac:dyDescent="0.2">
      <c r="A10" s="25">
        <f t="shared" si="0"/>
        <v>8</v>
      </c>
      <c r="B10" s="26">
        <v>11106267</v>
      </c>
      <c r="C10" s="12" t="s">
        <v>83</v>
      </c>
      <c r="D10" s="12" t="s">
        <v>84</v>
      </c>
      <c r="E10" s="12" t="s">
        <v>85</v>
      </c>
      <c r="F10" s="12" t="s">
        <v>86</v>
      </c>
      <c r="G10" s="23">
        <v>40757</v>
      </c>
      <c r="H10" s="12" t="s">
        <v>41</v>
      </c>
      <c r="I10" s="12" t="s">
        <v>29</v>
      </c>
      <c r="J10" s="12" t="s">
        <v>30</v>
      </c>
      <c r="K10" s="12" t="s">
        <v>31</v>
      </c>
      <c r="L10" s="12" t="s">
        <v>87</v>
      </c>
      <c r="M10" s="12" t="s">
        <v>43</v>
      </c>
      <c r="N10" s="14" t="s">
        <v>88</v>
      </c>
      <c r="O10" s="15">
        <v>45798</v>
      </c>
      <c r="P10" s="14">
        <v>130</v>
      </c>
      <c r="Q10" s="16" t="s">
        <v>89</v>
      </c>
      <c r="R10" s="16" t="s">
        <v>90</v>
      </c>
      <c r="S10" s="16">
        <v>77285386</v>
      </c>
    </row>
    <row r="11" spans="1:19" ht="12.75" x14ac:dyDescent="0.2">
      <c r="A11" s="25">
        <f t="shared" si="0"/>
        <v>9</v>
      </c>
      <c r="B11" s="26">
        <v>15638406</v>
      </c>
      <c r="C11" s="12" t="s">
        <v>91</v>
      </c>
      <c r="D11" s="12" t="s">
        <v>92</v>
      </c>
      <c r="E11" s="12" t="s">
        <v>93</v>
      </c>
      <c r="F11" s="12" t="s">
        <v>94</v>
      </c>
      <c r="G11" s="23">
        <v>41804</v>
      </c>
      <c r="H11" s="12" t="s">
        <v>28</v>
      </c>
      <c r="I11" s="12" t="s">
        <v>29</v>
      </c>
      <c r="J11" s="12" t="s">
        <v>30</v>
      </c>
      <c r="K11" s="12" t="s">
        <v>71</v>
      </c>
      <c r="L11" s="12" t="s">
        <v>95</v>
      </c>
      <c r="M11" s="12" t="s">
        <v>73</v>
      </c>
      <c r="N11" s="27" t="s">
        <v>96</v>
      </c>
      <c r="O11" s="15">
        <v>45801</v>
      </c>
      <c r="P11" s="14">
        <v>130</v>
      </c>
      <c r="Q11" s="16" t="s">
        <v>89</v>
      </c>
      <c r="R11" s="16" t="s">
        <v>97</v>
      </c>
      <c r="S11" s="16">
        <v>69451693</v>
      </c>
    </row>
    <row r="12" spans="1:19" ht="12.75" x14ac:dyDescent="0.2">
      <c r="A12" s="28">
        <f t="shared" si="0"/>
        <v>10</v>
      </c>
      <c r="B12" s="29">
        <v>15370954</v>
      </c>
      <c r="C12" s="12" t="s">
        <v>98</v>
      </c>
      <c r="D12" s="22" t="s">
        <v>99</v>
      </c>
      <c r="E12" s="12" t="s">
        <v>100</v>
      </c>
      <c r="F12" s="12" t="s">
        <v>101</v>
      </c>
      <c r="G12" s="23">
        <v>41781</v>
      </c>
      <c r="H12" s="12" t="s">
        <v>41</v>
      </c>
      <c r="I12" s="12" t="s">
        <v>29</v>
      </c>
      <c r="J12" s="12" t="s">
        <v>30</v>
      </c>
      <c r="K12" s="12" t="s">
        <v>71</v>
      </c>
      <c r="L12" s="12" t="s">
        <v>102</v>
      </c>
      <c r="M12" s="12" t="s">
        <v>103</v>
      </c>
      <c r="N12" s="14"/>
      <c r="O12" s="30">
        <v>45861.595138888886</v>
      </c>
      <c r="P12" s="14">
        <v>130</v>
      </c>
      <c r="Q12" s="16" t="s">
        <v>104</v>
      </c>
      <c r="R12" s="16" t="s">
        <v>105</v>
      </c>
      <c r="S12" s="16">
        <v>71424575</v>
      </c>
    </row>
    <row r="13" spans="1:19" ht="12.75" x14ac:dyDescent="0.2">
      <c r="A13" s="28">
        <f t="shared" si="0"/>
        <v>11</v>
      </c>
      <c r="B13" s="29">
        <v>13994125</v>
      </c>
      <c r="C13" s="12" t="s">
        <v>106</v>
      </c>
      <c r="E13" s="22" t="s">
        <v>107</v>
      </c>
      <c r="F13" s="12" t="s">
        <v>108</v>
      </c>
      <c r="G13" s="23">
        <v>41506</v>
      </c>
      <c r="H13" s="12" t="s">
        <v>28</v>
      </c>
      <c r="I13" s="12" t="s">
        <v>29</v>
      </c>
      <c r="J13" s="12" t="s">
        <v>30</v>
      </c>
      <c r="K13" s="12" t="s">
        <v>49</v>
      </c>
      <c r="L13" s="12" t="s">
        <v>109</v>
      </c>
      <c r="M13" s="12" t="s">
        <v>73</v>
      </c>
      <c r="N13" s="14" t="s">
        <v>110</v>
      </c>
      <c r="O13" s="15">
        <v>374629</v>
      </c>
      <c r="P13" s="14">
        <v>130</v>
      </c>
      <c r="Q13" s="16" t="s">
        <v>111</v>
      </c>
      <c r="R13" s="16" t="s">
        <v>112</v>
      </c>
      <c r="S13" s="16">
        <v>70734594</v>
      </c>
    </row>
    <row r="14" spans="1:19" ht="12.75" x14ac:dyDescent="0.2">
      <c r="A14" s="28">
        <f t="shared" si="0"/>
        <v>12</v>
      </c>
      <c r="B14" s="29">
        <v>12404745</v>
      </c>
      <c r="C14" s="12" t="s">
        <v>113</v>
      </c>
      <c r="D14" s="12"/>
      <c r="E14" s="12" t="s">
        <v>114</v>
      </c>
      <c r="F14" s="12" t="s">
        <v>115</v>
      </c>
      <c r="G14" s="23">
        <v>40658</v>
      </c>
      <c r="H14" s="12" t="s">
        <v>28</v>
      </c>
      <c r="I14" s="12" t="s">
        <v>29</v>
      </c>
      <c r="J14" s="12" t="s">
        <v>30</v>
      </c>
      <c r="K14" s="12" t="s">
        <v>116</v>
      </c>
      <c r="L14" s="12" t="s">
        <v>42</v>
      </c>
      <c r="M14" s="12" t="s">
        <v>33</v>
      </c>
      <c r="N14" s="14">
        <v>4076078091</v>
      </c>
      <c r="O14" s="15">
        <v>45911</v>
      </c>
      <c r="P14" s="14">
        <v>130</v>
      </c>
      <c r="Q14" s="16" t="s">
        <v>104</v>
      </c>
      <c r="R14" s="16" t="s">
        <v>117</v>
      </c>
      <c r="S14" s="16">
        <v>74321917</v>
      </c>
    </row>
    <row r="15" spans="1:19" ht="12.75" x14ac:dyDescent="0.2">
      <c r="A15" s="28">
        <f t="shared" si="0"/>
        <v>13</v>
      </c>
      <c r="B15" s="29">
        <v>13972337</v>
      </c>
      <c r="C15" s="31" t="s">
        <v>118</v>
      </c>
      <c r="D15" s="31"/>
      <c r="E15" s="31" t="s">
        <v>119</v>
      </c>
      <c r="F15" s="31" t="s">
        <v>120</v>
      </c>
      <c r="G15" s="32">
        <v>41552</v>
      </c>
      <c r="H15" s="31" t="s">
        <v>41</v>
      </c>
      <c r="I15" s="31" t="s">
        <v>29</v>
      </c>
      <c r="J15" s="31" t="s">
        <v>30</v>
      </c>
      <c r="K15" s="12" t="s">
        <v>49</v>
      </c>
      <c r="L15" s="31" t="s">
        <v>58</v>
      </c>
      <c r="M15" s="31" t="s">
        <v>121</v>
      </c>
      <c r="N15" s="33" t="s">
        <v>122</v>
      </c>
      <c r="O15" s="34">
        <v>45928</v>
      </c>
      <c r="P15" s="33"/>
      <c r="Q15" s="33" t="s">
        <v>123</v>
      </c>
      <c r="R15" s="28" t="s">
        <v>124</v>
      </c>
      <c r="S15" s="28">
        <v>69420677</v>
      </c>
    </row>
    <row r="16" spans="1:19" ht="12.75" x14ac:dyDescent="0.2">
      <c r="A16" s="16">
        <f t="shared" si="0"/>
        <v>14</v>
      </c>
      <c r="B16" s="29">
        <v>1468881</v>
      </c>
      <c r="C16" s="12" t="s">
        <v>125</v>
      </c>
      <c r="D16" s="12" t="s">
        <v>126</v>
      </c>
      <c r="E16" s="12" t="s">
        <v>127</v>
      </c>
      <c r="F16" s="12" t="s">
        <v>128</v>
      </c>
      <c r="G16" s="23">
        <v>42000</v>
      </c>
      <c r="H16" s="12" t="s">
        <v>28</v>
      </c>
      <c r="I16" s="12" t="s">
        <v>29</v>
      </c>
      <c r="J16" s="12" t="s">
        <v>30</v>
      </c>
      <c r="K16" s="12" t="s">
        <v>71</v>
      </c>
      <c r="L16" s="12" t="s">
        <v>109</v>
      </c>
      <c r="M16" s="12" t="s">
        <v>129</v>
      </c>
      <c r="N16" s="14" t="s">
        <v>130</v>
      </c>
      <c r="O16" s="15">
        <v>45920</v>
      </c>
      <c r="P16" s="14">
        <v>130</v>
      </c>
      <c r="Q16" s="16" t="s">
        <v>123</v>
      </c>
      <c r="R16" s="16" t="s">
        <v>131</v>
      </c>
      <c r="S16" s="16">
        <v>77955775</v>
      </c>
    </row>
    <row r="17" spans="1:19" ht="12.75" x14ac:dyDescent="0.2">
      <c r="A17" s="16">
        <f t="shared" si="0"/>
        <v>15</v>
      </c>
      <c r="B17" s="35">
        <v>13474555</v>
      </c>
      <c r="C17" s="12" t="s">
        <v>132</v>
      </c>
      <c r="D17" s="12" t="s">
        <v>133</v>
      </c>
      <c r="E17" s="12" t="s">
        <v>134</v>
      </c>
      <c r="F17" s="12" t="s">
        <v>135</v>
      </c>
      <c r="G17" s="23">
        <v>41623</v>
      </c>
      <c r="H17" s="12" t="s">
        <v>41</v>
      </c>
      <c r="I17" s="12" t="s">
        <v>29</v>
      </c>
      <c r="J17" s="12" t="s">
        <v>30</v>
      </c>
      <c r="K17" s="12" t="s">
        <v>71</v>
      </c>
      <c r="L17" s="36" t="str">
        <f ca="1">IFERROR(__xludf.DUMMYFUNCTION("IF(B17="""","""",VLOOKUP(B17,IMPORTRANGE(""https://docs.google.com/spreadsheets/d/1DMDt-BWH-qWpdpYRmREaENoVhzAs1Y2H-DkX0xWsotY/edit#gid=0"",""BD!C:S""),11,FALSE))"),"MARYKNOLL")</f>
        <v>MARYKNOLL</v>
      </c>
      <c r="M17" s="12" t="s">
        <v>129</v>
      </c>
      <c r="N17" s="14" t="s">
        <v>136</v>
      </c>
      <c r="O17" s="15">
        <v>45937</v>
      </c>
      <c r="P17" s="14">
        <v>135</v>
      </c>
      <c r="Q17" s="16" t="s">
        <v>137</v>
      </c>
      <c r="R17" s="16" t="s">
        <v>138</v>
      </c>
      <c r="S17" s="16">
        <v>67569391</v>
      </c>
    </row>
    <row r="18" spans="1:19" ht="12.75" x14ac:dyDescent="0.2">
      <c r="A18" s="16">
        <f t="shared" si="0"/>
        <v>16</v>
      </c>
      <c r="B18" s="35">
        <v>15952525</v>
      </c>
      <c r="C18" s="12" t="s">
        <v>139</v>
      </c>
      <c r="D18" s="12" t="s">
        <v>140</v>
      </c>
      <c r="E18" s="12" t="s">
        <v>141</v>
      </c>
      <c r="F18" s="12" t="s">
        <v>142</v>
      </c>
      <c r="G18" s="23">
        <v>40743</v>
      </c>
      <c r="H18" s="12" t="s">
        <v>41</v>
      </c>
      <c r="I18" s="12" t="s">
        <v>29</v>
      </c>
      <c r="J18" s="12" t="s">
        <v>30</v>
      </c>
      <c r="K18" s="12" t="s">
        <v>31</v>
      </c>
      <c r="L18" s="12" t="s">
        <v>143</v>
      </c>
      <c r="M18" s="12" t="s">
        <v>144</v>
      </c>
      <c r="N18" s="37">
        <v>45937.621678240743</v>
      </c>
      <c r="O18" s="37">
        <v>45937.621678240743</v>
      </c>
      <c r="P18" s="14">
        <v>135</v>
      </c>
      <c r="Q18" s="16" t="s">
        <v>137</v>
      </c>
      <c r="R18" s="16" t="s">
        <v>145</v>
      </c>
      <c r="S18" s="16">
        <v>72219823</v>
      </c>
    </row>
    <row r="19" spans="1:19" ht="15" x14ac:dyDescent="0.25">
      <c r="A19" s="16">
        <f t="shared" si="0"/>
        <v>17</v>
      </c>
      <c r="B19" s="38">
        <v>16904201</v>
      </c>
      <c r="C19" s="39" t="s">
        <v>146</v>
      </c>
      <c r="D19" s="39" t="s">
        <v>147</v>
      </c>
      <c r="E19" s="39" t="s">
        <v>148</v>
      </c>
      <c r="F19" s="40" t="s">
        <v>149</v>
      </c>
      <c r="G19" s="41">
        <v>40568</v>
      </c>
      <c r="H19" s="39" t="s">
        <v>28</v>
      </c>
      <c r="I19" s="39" t="s">
        <v>29</v>
      </c>
      <c r="J19" s="39" t="s">
        <v>30</v>
      </c>
      <c r="K19" s="39" t="s">
        <v>116</v>
      </c>
      <c r="L19" s="39" t="s">
        <v>150</v>
      </c>
      <c r="M19" s="12" t="s">
        <v>144</v>
      </c>
      <c r="N19" s="31">
        <v>483778782</v>
      </c>
      <c r="O19" s="42">
        <v>46022</v>
      </c>
      <c r="P19" s="31">
        <v>35</v>
      </c>
      <c r="Q19" s="16" t="s">
        <v>137</v>
      </c>
      <c r="R19" s="16"/>
      <c r="S19" s="16"/>
    </row>
    <row r="20" spans="1:19" ht="12.75" x14ac:dyDescent="0.2">
      <c r="A20" s="16">
        <f t="shared" si="0"/>
        <v>18</v>
      </c>
      <c r="B20" s="43">
        <v>15336597</v>
      </c>
      <c r="C20" s="31" t="s">
        <v>151</v>
      </c>
      <c r="D20" s="31" t="s">
        <v>152</v>
      </c>
      <c r="E20" s="31" t="s">
        <v>148</v>
      </c>
      <c r="F20" s="31" t="s">
        <v>153</v>
      </c>
      <c r="G20" s="32">
        <v>41792</v>
      </c>
      <c r="H20" s="31" t="s">
        <v>41</v>
      </c>
      <c r="I20" s="31" t="s">
        <v>29</v>
      </c>
      <c r="J20" s="31" t="s">
        <v>30</v>
      </c>
      <c r="K20" s="31" t="s">
        <v>71</v>
      </c>
      <c r="L20" s="44" t="s">
        <v>102</v>
      </c>
      <c r="M20" s="31" t="s">
        <v>129</v>
      </c>
      <c r="N20" s="27">
        <v>479549065</v>
      </c>
      <c r="O20" s="45">
        <v>46020</v>
      </c>
      <c r="P20" s="14">
        <v>135</v>
      </c>
      <c r="Q20" s="16" t="s">
        <v>137</v>
      </c>
      <c r="R20" s="16" t="s">
        <v>154</v>
      </c>
      <c r="S20" s="16">
        <v>79755004</v>
      </c>
    </row>
    <row r="21" spans="1:19" thickBot="1" x14ac:dyDescent="0.3">
      <c r="A21" s="16">
        <f t="shared" si="0"/>
        <v>19</v>
      </c>
      <c r="B21" s="46">
        <v>13994856</v>
      </c>
      <c r="C21" s="46" t="s">
        <v>155</v>
      </c>
      <c r="D21" s="46" t="s">
        <v>156</v>
      </c>
      <c r="E21" s="46" t="s">
        <v>157</v>
      </c>
      <c r="F21" s="46" t="s">
        <v>158</v>
      </c>
      <c r="G21" s="47">
        <v>41512</v>
      </c>
      <c r="H21" s="46" t="s">
        <v>41</v>
      </c>
      <c r="I21" s="46" t="s">
        <v>29</v>
      </c>
      <c r="J21" s="46" t="s">
        <v>30</v>
      </c>
      <c r="K21" s="46" t="s">
        <v>159</v>
      </c>
      <c r="L21" s="46" t="s">
        <v>160</v>
      </c>
      <c r="M21" s="46" t="s">
        <v>73</v>
      </c>
      <c r="N21" s="48" t="s">
        <v>161</v>
      </c>
      <c r="O21" s="49">
        <v>45971</v>
      </c>
      <c r="P21" s="48">
        <v>135</v>
      </c>
      <c r="Q21" s="16" t="s">
        <v>137</v>
      </c>
      <c r="R21" s="16" t="s">
        <v>162</v>
      </c>
      <c r="S21" s="16">
        <v>69478823</v>
      </c>
    </row>
    <row r="22" spans="1:19" ht="26.25" thickBot="1" x14ac:dyDescent="0.25">
      <c r="A22" s="16">
        <f t="shared" si="0"/>
        <v>20</v>
      </c>
      <c r="B22" s="58" t="s">
        <v>163</v>
      </c>
      <c r="C22" s="59" t="s">
        <v>164</v>
      </c>
      <c r="D22" s="59" t="s">
        <v>165</v>
      </c>
      <c r="E22" s="59" t="s">
        <v>166</v>
      </c>
      <c r="F22" s="59" t="s">
        <v>167</v>
      </c>
      <c r="G22" s="60">
        <v>41995</v>
      </c>
      <c r="H22" s="59" t="s">
        <v>28</v>
      </c>
      <c r="I22" s="59" t="s">
        <v>29</v>
      </c>
      <c r="J22" s="59" t="s">
        <v>168</v>
      </c>
      <c r="K22" s="59" t="s">
        <v>169</v>
      </c>
      <c r="L22" s="59" t="s">
        <v>80</v>
      </c>
      <c r="M22" s="59" t="s">
        <v>170</v>
      </c>
      <c r="N22" s="59">
        <v>1.42625041169786E+19</v>
      </c>
      <c r="O22" s="61">
        <v>45758</v>
      </c>
      <c r="P22" s="59" t="s">
        <v>171</v>
      </c>
      <c r="Q22" s="59" t="s">
        <v>172</v>
      </c>
      <c r="R22" s="62" t="s">
        <v>173</v>
      </c>
      <c r="S22" s="59">
        <v>74336259</v>
      </c>
    </row>
    <row r="23" spans="1:19" ht="26.25" thickBot="1" x14ac:dyDescent="0.25">
      <c r="A23" s="16">
        <f t="shared" si="0"/>
        <v>21</v>
      </c>
      <c r="B23" s="63">
        <v>15668973</v>
      </c>
      <c r="C23" s="64" t="s">
        <v>174</v>
      </c>
      <c r="D23" s="64" t="s">
        <v>175</v>
      </c>
      <c r="E23" s="64" t="s">
        <v>176</v>
      </c>
      <c r="F23" s="64" t="s">
        <v>57</v>
      </c>
      <c r="G23" s="65">
        <v>43509</v>
      </c>
      <c r="H23" s="64" t="s">
        <v>41</v>
      </c>
      <c r="I23" s="64" t="s">
        <v>29</v>
      </c>
      <c r="J23" s="64" t="s">
        <v>168</v>
      </c>
      <c r="K23" s="64" t="s">
        <v>177</v>
      </c>
      <c r="L23" s="64" t="s">
        <v>58</v>
      </c>
      <c r="M23" s="64" t="s">
        <v>178</v>
      </c>
      <c r="N23" s="64">
        <v>1.42625040868916E+19</v>
      </c>
      <c r="O23" s="66">
        <v>45755</v>
      </c>
      <c r="P23" s="64" t="s">
        <v>171</v>
      </c>
      <c r="Q23" s="64" t="s">
        <v>172</v>
      </c>
      <c r="R23" s="67" t="s">
        <v>179</v>
      </c>
      <c r="S23" s="64">
        <v>79741274</v>
      </c>
    </row>
    <row r="24" spans="1:19" ht="26.25" thickBot="1" x14ac:dyDescent="0.25">
      <c r="A24" s="16">
        <f t="shared" si="0"/>
        <v>22</v>
      </c>
      <c r="B24" s="63">
        <v>17025131</v>
      </c>
      <c r="C24" s="64" t="s">
        <v>180</v>
      </c>
      <c r="D24" s="64" t="s">
        <v>181</v>
      </c>
      <c r="E24" s="64" t="s">
        <v>182</v>
      </c>
      <c r="F24" s="64" t="s">
        <v>183</v>
      </c>
      <c r="G24" s="65">
        <v>42417</v>
      </c>
      <c r="H24" s="64" t="s">
        <v>41</v>
      </c>
      <c r="I24" s="64" t="s">
        <v>29</v>
      </c>
      <c r="J24" s="64" t="s">
        <v>168</v>
      </c>
      <c r="K24" s="64" t="s">
        <v>184</v>
      </c>
      <c r="L24" s="64" t="s">
        <v>185</v>
      </c>
      <c r="M24" s="64" t="s">
        <v>186</v>
      </c>
      <c r="N24" s="64">
        <v>595146220</v>
      </c>
      <c r="O24" s="66">
        <v>45770</v>
      </c>
      <c r="P24" s="64" t="s">
        <v>171</v>
      </c>
      <c r="Q24" s="64" t="s">
        <v>172</v>
      </c>
      <c r="R24" s="67" t="s">
        <v>187</v>
      </c>
      <c r="S24" s="64">
        <v>70788309</v>
      </c>
    </row>
    <row r="25" spans="1:19" ht="26.25" thickBot="1" x14ac:dyDescent="0.25">
      <c r="A25" s="16">
        <f t="shared" si="0"/>
        <v>23</v>
      </c>
      <c r="B25" s="63">
        <v>16964695</v>
      </c>
      <c r="C25" s="64" t="s">
        <v>188</v>
      </c>
      <c r="D25" s="64" t="s">
        <v>189</v>
      </c>
      <c r="E25" s="64" t="s">
        <v>190</v>
      </c>
      <c r="F25" s="64" t="s">
        <v>191</v>
      </c>
      <c r="G25" s="65">
        <v>42494</v>
      </c>
      <c r="H25" s="64" t="s">
        <v>41</v>
      </c>
      <c r="I25" s="64" t="s">
        <v>29</v>
      </c>
      <c r="J25" s="64" t="s">
        <v>168</v>
      </c>
      <c r="K25" s="64" t="s">
        <v>184</v>
      </c>
      <c r="L25" s="64" t="s">
        <v>192</v>
      </c>
      <c r="M25" s="64" t="s">
        <v>186</v>
      </c>
      <c r="N25" s="64" t="s">
        <v>193</v>
      </c>
      <c r="O25" s="66">
        <v>45771</v>
      </c>
      <c r="P25" s="64" t="s">
        <v>171</v>
      </c>
      <c r="Q25" s="64" t="s">
        <v>172</v>
      </c>
      <c r="R25" s="67" t="s">
        <v>194</v>
      </c>
      <c r="S25" s="64">
        <v>77459764</v>
      </c>
    </row>
    <row r="26" spans="1:19" ht="26.25" thickBot="1" x14ac:dyDescent="0.25">
      <c r="A26" s="16">
        <f t="shared" si="0"/>
        <v>24</v>
      </c>
      <c r="B26" s="63">
        <v>16535480</v>
      </c>
      <c r="C26" s="64" t="s">
        <v>195</v>
      </c>
      <c r="D26" s="64" t="s">
        <v>196</v>
      </c>
      <c r="E26" s="64" t="s">
        <v>190</v>
      </c>
      <c r="F26" s="64" t="s">
        <v>191</v>
      </c>
      <c r="G26" s="66">
        <v>42067</v>
      </c>
      <c r="H26" s="64" t="s">
        <v>41</v>
      </c>
      <c r="I26" s="64" t="s">
        <v>29</v>
      </c>
      <c r="J26" s="64" t="s">
        <v>168</v>
      </c>
      <c r="K26" s="64" t="s">
        <v>169</v>
      </c>
      <c r="L26" s="64" t="s">
        <v>192</v>
      </c>
      <c r="M26" s="64" t="s">
        <v>170</v>
      </c>
      <c r="N26" s="64" t="s">
        <v>197</v>
      </c>
      <c r="O26" s="66">
        <v>45771</v>
      </c>
      <c r="P26" s="64" t="s">
        <v>171</v>
      </c>
      <c r="Q26" s="68" t="s">
        <v>172</v>
      </c>
      <c r="R26" s="67" t="s">
        <v>194</v>
      </c>
      <c r="S26" s="64">
        <v>77459764</v>
      </c>
    </row>
    <row r="27" spans="1:19" ht="26.25" thickBot="1" x14ac:dyDescent="0.25">
      <c r="A27" s="16">
        <f t="shared" si="0"/>
        <v>25</v>
      </c>
      <c r="B27" s="63">
        <v>15370289</v>
      </c>
      <c r="C27" s="64" t="s">
        <v>198</v>
      </c>
      <c r="D27" s="64" t="s">
        <v>199</v>
      </c>
      <c r="E27" s="64" t="s">
        <v>200</v>
      </c>
      <c r="F27" s="64" t="s">
        <v>27</v>
      </c>
      <c r="G27" s="66">
        <v>42055</v>
      </c>
      <c r="H27" s="64" t="s">
        <v>28</v>
      </c>
      <c r="I27" s="64" t="s">
        <v>29</v>
      </c>
      <c r="J27" s="64" t="s">
        <v>168</v>
      </c>
      <c r="K27" s="64" t="s">
        <v>169</v>
      </c>
      <c r="L27" s="64" t="s">
        <v>58</v>
      </c>
      <c r="M27" s="64" t="s">
        <v>170</v>
      </c>
      <c r="N27" s="64" t="s">
        <v>201</v>
      </c>
      <c r="O27" s="66">
        <v>45774</v>
      </c>
      <c r="P27" s="64" t="s">
        <v>202</v>
      </c>
      <c r="Q27" s="64" t="s">
        <v>172</v>
      </c>
      <c r="R27" s="67" t="s">
        <v>203</v>
      </c>
      <c r="S27" s="64">
        <v>76508116</v>
      </c>
    </row>
    <row r="28" spans="1:19" ht="26.25" thickBot="1" x14ac:dyDescent="0.25">
      <c r="A28" s="16">
        <f t="shared" si="0"/>
        <v>26</v>
      </c>
      <c r="B28" s="63">
        <v>14831926</v>
      </c>
      <c r="C28" s="64" t="s">
        <v>204</v>
      </c>
      <c r="D28" s="64" t="s">
        <v>205</v>
      </c>
      <c r="E28" s="64" t="s">
        <v>206</v>
      </c>
      <c r="F28" s="64" t="s">
        <v>207</v>
      </c>
      <c r="G28" s="66">
        <v>42472</v>
      </c>
      <c r="H28" s="64" t="s">
        <v>41</v>
      </c>
      <c r="I28" s="64" t="s">
        <v>29</v>
      </c>
      <c r="J28" s="64" t="s">
        <v>168</v>
      </c>
      <c r="K28" s="64" t="s">
        <v>184</v>
      </c>
      <c r="L28" s="64" t="s">
        <v>208</v>
      </c>
      <c r="M28" s="64" t="s">
        <v>186</v>
      </c>
      <c r="N28" s="64">
        <v>688790406</v>
      </c>
      <c r="O28" s="66">
        <v>45775</v>
      </c>
      <c r="P28" s="64" t="s">
        <v>171</v>
      </c>
      <c r="Q28" s="64" t="s">
        <v>172</v>
      </c>
      <c r="R28" s="67" t="s">
        <v>209</v>
      </c>
      <c r="S28" s="64">
        <v>65332788</v>
      </c>
    </row>
    <row r="29" spans="1:19" ht="26.25" thickBot="1" x14ac:dyDescent="0.25">
      <c r="A29" s="16">
        <f t="shared" si="0"/>
        <v>27</v>
      </c>
      <c r="B29" s="63">
        <v>15579991</v>
      </c>
      <c r="C29" s="64" t="s">
        <v>118</v>
      </c>
      <c r="D29" s="64" t="s">
        <v>210</v>
      </c>
      <c r="E29" s="64" t="s">
        <v>211</v>
      </c>
      <c r="F29" s="64" t="s">
        <v>69</v>
      </c>
      <c r="G29" s="66">
        <v>42072</v>
      </c>
      <c r="H29" s="64" t="s">
        <v>41</v>
      </c>
      <c r="I29" s="64" t="s">
        <v>29</v>
      </c>
      <c r="J29" s="64" t="s">
        <v>168</v>
      </c>
      <c r="K29" s="64" t="s">
        <v>169</v>
      </c>
      <c r="L29" s="64" t="s">
        <v>212</v>
      </c>
      <c r="M29" s="64" t="s">
        <v>170</v>
      </c>
      <c r="N29" s="64" t="s">
        <v>213</v>
      </c>
      <c r="O29" s="66">
        <v>45775</v>
      </c>
      <c r="P29" s="64" t="s">
        <v>171</v>
      </c>
      <c r="Q29" s="64" t="s">
        <v>172</v>
      </c>
      <c r="R29" s="67" t="s">
        <v>214</v>
      </c>
      <c r="S29" s="64">
        <v>72885459</v>
      </c>
    </row>
    <row r="30" spans="1:19" ht="26.25" thickBot="1" x14ac:dyDescent="0.25">
      <c r="A30" s="16">
        <f t="shared" si="0"/>
        <v>28</v>
      </c>
      <c r="B30" s="63">
        <v>15660592</v>
      </c>
      <c r="C30" s="64" t="s">
        <v>215</v>
      </c>
      <c r="D30" s="64" t="s">
        <v>216</v>
      </c>
      <c r="E30" s="64" t="s">
        <v>217</v>
      </c>
      <c r="F30" s="64" t="s">
        <v>218</v>
      </c>
      <c r="G30" s="66">
        <v>42797</v>
      </c>
      <c r="H30" s="64" t="s">
        <v>28</v>
      </c>
      <c r="I30" s="64" t="s">
        <v>29</v>
      </c>
      <c r="J30" s="64" t="s">
        <v>168</v>
      </c>
      <c r="K30" s="64" t="s">
        <v>177</v>
      </c>
      <c r="L30" s="64" t="s">
        <v>219</v>
      </c>
      <c r="M30" s="64" t="s">
        <v>220</v>
      </c>
      <c r="N30" s="64">
        <v>1001167740</v>
      </c>
      <c r="O30" s="66">
        <v>45775</v>
      </c>
      <c r="P30" s="64" t="s">
        <v>171</v>
      </c>
      <c r="Q30" s="64" t="s">
        <v>172</v>
      </c>
      <c r="R30" s="67" t="s">
        <v>221</v>
      </c>
      <c r="S30" s="64">
        <v>69453344</v>
      </c>
    </row>
    <row r="31" spans="1:19" ht="26.25" thickBot="1" x14ac:dyDescent="0.25">
      <c r="A31" s="16">
        <f t="shared" si="0"/>
        <v>29</v>
      </c>
      <c r="B31" s="63">
        <v>14265776</v>
      </c>
      <c r="C31" s="64" t="s">
        <v>222</v>
      </c>
      <c r="D31" s="64" t="s">
        <v>223</v>
      </c>
      <c r="E31" s="64" t="s">
        <v>26</v>
      </c>
      <c r="F31" s="64" t="s">
        <v>64</v>
      </c>
      <c r="G31" s="66">
        <v>42130</v>
      </c>
      <c r="H31" s="64" t="s">
        <v>28</v>
      </c>
      <c r="I31" s="64" t="s">
        <v>29</v>
      </c>
      <c r="J31" s="64" t="s">
        <v>168</v>
      </c>
      <c r="K31" s="64" t="s">
        <v>224</v>
      </c>
      <c r="L31" s="64" t="s">
        <v>58</v>
      </c>
      <c r="M31" s="64" t="s">
        <v>186</v>
      </c>
      <c r="N31" s="64">
        <v>3047869938</v>
      </c>
      <c r="O31" s="66">
        <v>45754</v>
      </c>
      <c r="P31" s="64" t="s">
        <v>171</v>
      </c>
      <c r="Q31" s="64" t="s">
        <v>172</v>
      </c>
      <c r="R31" s="67" t="s">
        <v>225</v>
      </c>
      <c r="S31" s="64">
        <v>77978966</v>
      </c>
    </row>
    <row r="32" spans="1:19" ht="26.25" thickBot="1" x14ac:dyDescent="0.25">
      <c r="A32" s="16">
        <f t="shared" si="0"/>
        <v>30</v>
      </c>
      <c r="B32" s="63">
        <v>15150421</v>
      </c>
      <c r="C32" s="64" t="s">
        <v>226</v>
      </c>
      <c r="D32" s="67"/>
      <c r="E32" s="64" t="s">
        <v>227</v>
      </c>
      <c r="F32" s="64" t="s">
        <v>228</v>
      </c>
      <c r="G32" s="66">
        <v>42837</v>
      </c>
      <c r="H32" s="64" t="s">
        <v>41</v>
      </c>
      <c r="I32" s="64" t="s">
        <v>29</v>
      </c>
      <c r="J32" s="64" t="s">
        <v>168</v>
      </c>
      <c r="K32" s="64" t="s">
        <v>224</v>
      </c>
      <c r="L32" s="64" t="s">
        <v>229</v>
      </c>
      <c r="M32" s="64" t="s">
        <v>220</v>
      </c>
      <c r="N32" s="64">
        <v>1001465400</v>
      </c>
      <c r="O32" s="66">
        <v>45775</v>
      </c>
      <c r="P32" s="64" t="s">
        <v>171</v>
      </c>
      <c r="Q32" s="64" t="s">
        <v>172</v>
      </c>
      <c r="R32" s="67" t="s">
        <v>230</v>
      </c>
      <c r="S32" s="64">
        <v>70384151</v>
      </c>
    </row>
    <row r="33" spans="1:19" ht="26.25" thickBot="1" x14ac:dyDescent="0.25">
      <c r="A33" s="16">
        <f t="shared" si="0"/>
        <v>31</v>
      </c>
      <c r="B33" s="63">
        <v>15505696</v>
      </c>
      <c r="C33" s="64" t="s">
        <v>231</v>
      </c>
      <c r="D33" s="67"/>
      <c r="E33" s="64" t="s">
        <v>232</v>
      </c>
      <c r="F33" s="64" t="s">
        <v>233</v>
      </c>
      <c r="G33" s="66">
        <v>43301</v>
      </c>
      <c r="H33" s="64" t="s">
        <v>41</v>
      </c>
      <c r="I33" s="64" t="s">
        <v>29</v>
      </c>
      <c r="J33" s="64" t="s">
        <v>168</v>
      </c>
      <c r="K33" s="64" t="s">
        <v>177</v>
      </c>
      <c r="L33" s="64" t="s">
        <v>234</v>
      </c>
      <c r="M33" s="64" t="s">
        <v>235</v>
      </c>
      <c r="N33" s="64">
        <v>1.42625042804491E+19</v>
      </c>
      <c r="O33" s="66">
        <v>45775</v>
      </c>
      <c r="P33" s="64" t="s">
        <v>171</v>
      </c>
      <c r="Q33" s="64" t="s">
        <v>172</v>
      </c>
      <c r="R33" s="64" t="s">
        <v>236</v>
      </c>
      <c r="S33" s="64">
        <v>72211829</v>
      </c>
    </row>
    <row r="34" spans="1:19" ht="26.25" thickBot="1" x14ac:dyDescent="0.25">
      <c r="A34" s="16">
        <f t="shared" si="0"/>
        <v>32</v>
      </c>
      <c r="B34" s="63">
        <v>14817783</v>
      </c>
      <c r="C34" s="64" t="s">
        <v>237</v>
      </c>
      <c r="D34" s="64" t="s">
        <v>238</v>
      </c>
      <c r="E34" s="64" t="s">
        <v>239</v>
      </c>
      <c r="F34" s="64" t="s">
        <v>149</v>
      </c>
      <c r="G34" s="66">
        <v>42759</v>
      </c>
      <c r="H34" s="64" t="s">
        <v>28</v>
      </c>
      <c r="I34" s="64" t="s">
        <v>29</v>
      </c>
      <c r="J34" s="64" t="s">
        <v>168</v>
      </c>
      <c r="K34" s="64" t="s">
        <v>224</v>
      </c>
      <c r="L34" s="64" t="s">
        <v>240</v>
      </c>
      <c r="M34" s="64" t="s">
        <v>220</v>
      </c>
      <c r="N34" s="64">
        <v>1001479696</v>
      </c>
      <c r="O34" s="66">
        <v>45775</v>
      </c>
      <c r="P34" s="64" t="s">
        <v>171</v>
      </c>
      <c r="Q34" s="64" t="s">
        <v>172</v>
      </c>
      <c r="R34" s="64" t="s">
        <v>241</v>
      </c>
      <c r="S34" s="64">
        <v>79339487</v>
      </c>
    </row>
    <row r="35" spans="1:19" ht="26.25" thickBot="1" x14ac:dyDescent="0.25">
      <c r="A35" s="16">
        <f t="shared" si="0"/>
        <v>33</v>
      </c>
      <c r="B35" s="63">
        <v>16240703</v>
      </c>
      <c r="C35" s="64" t="s">
        <v>242</v>
      </c>
      <c r="D35" s="67"/>
      <c r="E35" s="64" t="s">
        <v>243</v>
      </c>
      <c r="F35" s="64" t="s">
        <v>244</v>
      </c>
      <c r="G35" s="66">
        <v>43156</v>
      </c>
      <c r="H35" s="64" t="s">
        <v>28</v>
      </c>
      <c r="I35" s="64" t="s">
        <v>29</v>
      </c>
      <c r="J35" s="64" t="s">
        <v>168</v>
      </c>
      <c r="K35" s="64" t="s">
        <v>177</v>
      </c>
      <c r="L35" s="64" t="s">
        <v>245</v>
      </c>
      <c r="M35" s="64" t="s">
        <v>235</v>
      </c>
      <c r="N35" s="64" t="s">
        <v>246</v>
      </c>
      <c r="O35" s="66">
        <v>45775</v>
      </c>
      <c r="P35" s="64" t="s">
        <v>171</v>
      </c>
      <c r="Q35" s="64" t="s">
        <v>172</v>
      </c>
      <c r="R35" s="64" t="s">
        <v>247</v>
      </c>
      <c r="S35" s="64">
        <v>70728898</v>
      </c>
    </row>
    <row r="36" spans="1:19" ht="26.25" thickBot="1" x14ac:dyDescent="0.25">
      <c r="A36" s="16">
        <f t="shared" si="0"/>
        <v>34</v>
      </c>
      <c r="B36" s="63">
        <v>15126957</v>
      </c>
      <c r="C36" s="64" t="s">
        <v>248</v>
      </c>
      <c r="D36" s="67"/>
      <c r="E36" s="64" t="s">
        <v>249</v>
      </c>
      <c r="F36" s="64" t="s">
        <v>250</v>
      </c>
      <c r="G36" s="66">
        <v>42093</v>
      </c>
      <c r="H36" s="64" t="s">
        <v>28</v>
      </c>
      <c r="I36" s="64" t="s">
        <v>29</v>
      </c>
      <c r="J36" s="64" t="s">
        <v>168</v>
      </c>
      <c r="K36" s="64" t="s">
        <v>169</v>
      </c>
      <c r="L36" s="64" t="s">
        <v>251</v>
      </c>
      <c r="M36" s="64" t="s">
        <v>170</v>
      </c>
      <c r="N36" s="64" t="s">
        <v>252</v>
      </c>
      <c r="O36" s="66">
        <v>45756</v>
      </c>
      <c r="P36" s="64" t="s">
        <v>253</v>
      </c>
      <c r="Q36" s="64" t="s">
        <v>172</v>
      </c>
      <c r="R36" s="64" t="s">
        <v>254</v>
      </c>
      <c r="S36" s="64">
        <v>70342751</v>
      </c>
    </row>
    <row r="37" spans="1:19" ht="26.25" thickBot="1" x14ac:dyDescent="0.25">
      <c r="A37" s="16">
        <f t="shared" si="0"/>
        <v>35</v>
      </c>
      <c r="B37" s="63">
        <v>15507729</v>
      </c>
      <c r="C37" s="64" t="s">
        <v>255</v>
      </c>
      <c r="D37" s="64" t="s">
        <v>256</v>
      </c>
      <c r="E37" s="64" t="s">
        <v>257</v>
      </c>
      <c r="F37" s="64" t="s">
        <v>258</v>
      </c>
      <c r="G37" s="66">
        <v>42846</v>
      </c>
      <c r="H37" s="64" t="s">
        <v>28</v>
      </c>
      <c r="I37" s="64" t="s">
        <v>29</v>
      </c>
      <c r="J37" s="64" t="s">
        <v>168</v>
      </c>
      <c r="K37" s="64" t="s">
        <v>224</v>
      </c>
      <c r="L37" s="64" t="s">
        <v>259</v>
      </c>
      <c r="M37" s="64" t="s">
        <v>220</v>
      </c>
      <c r="N37" s="64">
        <v>219908640</v>
      </c>
      <c r="O37" s="66">
        <v>45775</v>
      </c>
      <c r="P37" s="64" t="s">
        <v>171</v>
      </c>
      <c r="Q37" s="64" t="s">
        <v>172</v>
      </c>
      <c r="R37" s="64" t="s">
        <v>260</v>
      </c>
      <c r="S37" s="64">
        <v>60778463</v>
      </c>
    </row>
    <row r="38" spans="1:19" ht="26.25" thickBot="1" x14ac:dyDescent="0.25">
      <c r="A38" s="16">
        <f t="shared" si="0"/>
        <v>36</v>
      </c>
      <c r="B38" s="69">
        <v>1620728</v>
      </c>
      <c r="C38" s="64" t="s">
        <v>261</v>
      </c>
      <c r="D38" s="67"/>
      <c r="E38" s="64" t="s">
        <v>243</v>
      </c>
      <c r="F38" s="64" t="s">
        <v>244</v>
      </c>
      <c r="G38" s="66">
        <v>43156</v>
      </c>
      <c r="H38" s="64" t="s">
        <v>28</v>
      </c>
      <c r="I38" s="64" t="s">
        <v>29</v>
      </c>
      <c r="J38" s="64" t="s">
        <v>168</v>
      </c>
      <c r="K38" s="64" t="s">
        <v>177</v>
      </c>
      <c r="L38" s="64" t="s">
        <v>245</v>
      </c>
      <c r="M38" s="64" t="s">
        <v>235</v>
      </c>
      <c r="N38" s="64">
        <v>725051400052061</v>
      </c>
      <c r="O38" s="66">
        <v>45791</v>
      </c>
      <c r="P38" s="64" t="s">
        <v>262</v>
      </c>
      <c r="Q38" s="64" t="s">
        <v>263</v>
      </c>
      <c r="R38" s="64" t="s">
        <v>247</v>
      </c>
      <c r="S38" s="64">
        <v>70728898</v>
      </c>
    </row>
    <row r="39" spans="1:19" ht="26.25" thickBot="1" x14ac:dyDescent="0.25">
      <c r="A39" s="16">
        <f t="shared" si="0"/>
        <v>37</v>
      </c>
      <c r="B39" s="70">
        <v>15979994</v>
      </c>
      <c r="C39" s="64" t="s">
        <v>264</v>
      </c>
      <c r="D39" s="64" t="s">
        <v>265</v>
      </c>
      <c r="E39" s="64" t="s">
        <v>166</v>
      </c>
      <c r="F39" s="64" t="s">
        <v>167</v>
      </c>
      <c r="G39" s="66">
        <v>43646</v>
      </c>
      <c r="H39" s="64" t="s">
        <v>41</v>
      </c>
      <c r="I39" s="64" t="s">
        <v>29</v>
      </c>
      <c r="J39" s="64" t="s">
        <v>168</v>
      </c>
      <c r="K39" s="64" t="s">
        <v>177</v>
      </c>
      <c r="L39" s="64" t="s">
        <v>266</v>
      </c>
      <c r="M39" s="64" t="s">
        <v>178</v>
      </c>
      <c r="N39" s="64">
        <v>1.4262509134474799E+19</v>
      </c>
      <c r="O39" s="66">
        <v>45913</v>
      </c>
      <c r="P39" s="64" t="s">
        <v>262</v>
      </c>
      <c r="Q39" s="64" t="s">
        <v>123</v>
      </c>
      <c r="R39" s="67" t="s">
        <v>173</v>
      </c>
      <c r="S39" s="64">
        <v>74336259</v>
      </c>
    </row>
    <row r="40" spans="1:19" ht="26.25" thickBot="1" x14ac:dyDescent="0.25">
      <c r="A40" s="16">
        <f t="shared" si="0"/>
        <v>38</v>
      </c>
      <c r="B40" s="70">
        <v>14383075</v>
      </c>
      <c r="C40" s="64" t="s">
        <v>267</v>
      </c>
      <c r="D40" s="64" t="s">
        <v>268</v>
      </c>
      <c r="E40" s="64" t="s">
        <v>176</v>
      </c>
      <c r="F40" s="64" t="s">
        <v>269</v>
      </c>
      <c r="G40" s="66">
        <v>42882</v>
      </c>
      <c r="H40" s="64" t="s">
        <v>41</v>
      </c>
      <c r="I40" s="64" t="s">
        <v>29</v>
      </c>
      <c r="J40" s="64" t="s">
        <v>168</v>
      </c>
      <c r="K40" s="64" t="s">
        <v>224</v>
      </c>
      <c r="L40" s="64" t="s">
        <v>270</v>
      </c>
      <c r="M40" s="64" t="s">
        <v>186</v>
      </c>
      <c r="N40" s="64" t="s">
        <v>271</v>
      </c>
      <c r="O40" s="66">
        <v>45826</v>
      </c>
      <c r="P40" s="64" t="s">
        <v>262</v>
      </c>
      <c r="Q40" s="64" t="s">
        <v>123</v>
      </c>
      <c r="R40" s="64" t="s">
        <v>272</v>
      </c>
      <c r="S40" s="64">
        <v>75470451</v>
      </c>
    </row>
    <row r="41" spans="1:19" ht="26.25" thickBot="1" x14ac:dyDescent="0.25">
      <c r="A41" s="16">
        <f t="shared" si="0"/>
        <v>39</v>
      </c>
      <c r="B41" s="70">
        <v>14698654</v>
      </c>
      <c r="C41" s="64" t="s">
        <v>273</v>
      </c>
      <c r="D41" s="67"/>
      <c r="E41" s="64" t="s">
        <v>274</v>
      </c>
      <c r="F41" s="64" t="s">
        <v>275</v>
      </c>
      <c r="G41" s="66">
        <v>42511</v>
      </c>
      <c r="H41" s="64" t="s">
        <v>41</v>
      </c>
      <c r="I41" s="64" t="s">
        <v>29</v>
      </c>
      <c r="J41" s="64" t="s">
        <v>168</v>
      </c>
      <c r="K41" s="64" t="s">
        <v>224</v>
      </c>
      <c r="L41" s="64" t="s">
        <v>109</v>
      </c>
      <c r="M41" s="64" t="s">
        <v>186</v>
      </c>
      <c r="N41" s="64">
        <v>1.4262509274912999E+19</v>
      </c>
      <c r="O41" s="66">
        <v>45927</v>
      </c>
      <c r="P41" s="64" t="s">
        <v>262</v>
      </c>
      <c r="Q41" s="64" t="s">
        <v>123</v>
      </c>
      <c r="R41" s="64" t="s">
        <v>276</v>
      </c>
      <c r="S41" s="64">
        <v>77955775</v>
      </c>
    </row>
    <row r="42" spans="1:19" ht="26.25" thickBot="1" x14ac:dyDescent="0.25">
      <c r="A42" s="16">
        <f t="shared" si="0"/>
        <v>40</v>
      </c>
      <c r="B42" s="70">
        <v>16370735</v>
      </c>
      <c r="C42" s="64" t="s">
        <v>277</v>
      </c>
      <c r="D42" s="64" t="s">
        <v>268</v>
      </c>
      <c r="E42" s="64" t="s">
        <v>227</v>
      </c>
      <c r="F42" s="64" t="s">
        <v>278</v>
      </c>
      <c r="G42" s="66">
        <v>42193</v>
      </c>
      <c r="H42" s="64" t="s">
        <v>41</v>
      </c>
      <c r="I42" s="64" t="s">
        <v>29</v>
      </c>
      <c r="J42" s="64" t="s">
        <v>168</v>
      </c>
      <c r="K42" s="64" t="s">
        <v>169</v>
      </c>
      <c r="L42" s="64" t="s">
        <v>109</v>
      </c>
      <c r="M42" s="64" t="s">
        <v>186</v>
      </c>
      <c r="N42" s="64" t="s">
        <v>279</v>
      </c>
      <c r="O42" s="66">
        <v>45927</v>
      </c>
      <c r="P42" s="64" t="s">
        <v>262</v>
      </c>
      <c r="Q42" s="64" t="s">
        <v>123</v>
      </c>
      <c r="R42" s="64" t="s">
        <v>280</v>
      </c>
      <c r="S42" s="64">
        <v>65761631</v>
      </c>
    </row>
    <row r="43" spans="1:19" ht="13.5" thickBot="1" x14ac:dyDescent="0.25">
      <c r="A43" s="16">
        <f t="shared" si="0"/>
        <v>41</v>
      </c>
      <c r="B43" s="70">
        <v>15863361</v>
      </c>
      <c r="C43" s="64" t="s">
        <v>281</v>
      </c>
      <c r="D43" s="67"/>
      <c r="E43" s="64" t="s">
        <v>282</v>
      </c>
      <c r="F43" s="64" t="s">
        <v>283</v>
      </c>
      <c r="G43" s="66">
        <v>43585</v>
      </c>
      <c r="H43" s="64" t="s">
        <v>41</v>
      </c>
      <c r="I43" s="64" t="s">
        <v>29</v>
      </c>
      <c r="J43" s="64" t="s">
        <v>168</v>
      </c>
      <c r="K43" s="64" t="s">
        <v>177</v>
      </c>
      <c r="L43" s="64" t="s">
        <v>80</v>
      </c>
      <c r="M43" s="64" t="s">
        <v>178</v>
      </c>
      <c r="N43" s="64">
        <v>1.4262509274912999E+19</v>
      </c>
      <c r="O43" s="66">
        <v>45927</v>
      </c>
      <c r="P43" s="64" t="s">
        <v>262</v>
      </c>
      <c r="Q43" s="64" t="s">
        <v>123</v>
      </c>
      <c r="R43" s="67" t="s">
        <v>284</v>
      </c>
      <c r="S43" s="64">
        <v>76486057</v>
      </c>
    </row>
    <row r="44" spans="1:19" ht="26.25" thickBot="1" x14ac:dyDescent="0.25">
      <c r="A44" s="16">
        <f t="shared" si="0"/>
        <v>42</v>
      </c>
      <c r="B44" s="70">
        <v>15583582</v>
      </c>
      <c r="C44" s="71" t="s">
        <v>285</v>
      </c>
      <c r="D44" s="72"/>
      <c r="E44" s="71" t="s">
        <v>119</v>
      </c>
      <c r="F44" s="71" t="s">
        <v>120</v>
      </c>
      <c r="G44" s="73">
        <v>42138</v>
      </c>
      <c r="H44" s="71" t="s">
        <v>28</v>
      </c>
      <c r="I44" s="71" t="s">
        <v>29</v>
      </c>
      <c r="J44" s="71" t="s">
        <v>168</v>
      </c>
      <c r="K44" s="71" t="s">
        <v>169</v>
      </c>
      <c r="L44" s="71" t="s">
        <v>58</v>
      </c>
      <c r="M44" s="71" t="s">
        <v>170</v>
      </c>
      <c r="N44" s="71" t="s">
        <v>122</v>
      </c>
      <c r="O44" s="73">
        <v>45928</v>
      </c>
      <c r="P44" s="72"/>
      <c r="Q44" s="71" t="s">
        <v>123</v>
      </c>
      <c r="R44" s="72" t="s">
        <v>286</v>
      </c>
      <c r="S44" s="71">
        <v>69420677</v>
      </c>
    </row>
    <row r="45" spans="1:19" ht="26.25" thickBot="1" x14ac:dyDescent="0.25">
      <c r="A45" s="16">
        <f t="shared" si="0"/>
        <v>43</v>
      </c>
      <c r="B45" s="70">
        <v>15672622</v>
      </c>
      <c r="C45" s="71" t="s">
        <v>287</v>
      </c>
      <c r="D45" s="72"/>
      <c r="E45" s="71" t="s">
        <v>119</v>
      </c>
      <c r="F45" s="71" t="s">
        <v>120</v>
      </c>
      <c r="G45" s="73">
        <v>43510</v>
      </c>
      <c r="H45" s="71" t="s">
        <v>28</v>
      </c>
      <c r="I45" s="71" t="s">
        <v>29</v>
      </c>
      <c r="J45" s="71" t="s">
        <v>168</v>
      </c>
      <c r="K45" s="71" t="s">
        <v>177</v>
      </c>
      <c r="L45" s="71" t="s">
        <v>58</v>
      </c>
      <c r="M45" s="71" t="s">
        <v>178</v>
      </c>
      <c r="N45" s="71" t="s">
        <v>122</v>
      </c>
      <c r="O45" s="73">
        <v>45928</v>
      </c>
      <c r="P45" s="72"/>
      <c r="Q45" s="71" t="s">
        <v>123</v>
      </c>
      <c r="R45" s="72" t="s">
        <v>286</v>
      </c>
      <c r="S45" s="71">
        <v>69420677</v>
      </c>
    </row>
    <row r="46" spans="1:19" ht="39" thickBot="1" x14ac:dyDescent="0.25">
      <c r="A46" s="16">
        <f t="shared" si="0"/>
        <v>44</v>
      </c>
      <c r="B46" s="74">
        <v>15132216</v>
      </c>
      <c r="C46" s="67" t="s">
        <v>288</v>
      </c>
      <c r="D46" s="67" t="s">
        <v>289</v>
      </c>
      <c r="E46" s="67" t="s">
        <v>290</v>
      </c>
      <c r="F46" s="67" t="s">
        <v>291</v>
      </c>
      <c r="G46" s="66">
        <v>42375</v>
      </c>
      <c r="H46" s="64" t="s">
        <v>41</v>
      </c>
      <c r="I46" s="64" t="s">
        <v>29</v>
      </c>
      <c r="J46" s="64" t="s">
        <v>168</v>
      </c>
      <c r="K46" s="64" t="s">
        <v>184</v>
      </c>
      <c r="L46" s="64" t="s">
        <v>292</v>
      </c>
      <c r="M46" s="64" t="s">
        <v>186</v>
      </c>
      <c r="N46" s="64" t="s">
        <v>293</v>
      </c>
      <c r="O46" s="66">
        <v>45843</v>
      </c>
      <c r="P46" s="64" t="s">
        <v>262</v>
      </c>
      <c r="Q46" s="64" t="s">
        <v>294</v>
      </c>
      <c r="R46" s="67" t="s">
        <v>295</v>
      </c>
      <c r="S46" s="64">
        <v>61619000</v>
      </c>
    </row>
    <row r="47" spans="1:19" ht="13.5" thickBot="1" x14ac:dyDescent="0.25">
      <c r="A47" s="16">
        <f t="shared" si="0"/>
        <v>45</v>
      </c>
      <c r="B47" s="75">
        <v>14812893</v>
      </c>
      <c r="C47" s="76" t="s">
        <v>296</v>
      </c>
      <c r="D47" s="67"/>
      <c r="E47" s="76" t="s">
        <v>297</v>
      </c>
      <c r="F47" s="76" t="s">
        <v>298</v>
      </c>
      <c r="G47" s="77">
        <v>42237</v>
      </c>
      <c r="H47" s="75" t="s">
        <v>28</v>
      </c>
      <c r="I47" s="75" t="s">
        <v>29</v>
      </c>
      <c r="J47" s="75" t="s">
        <v>168</v>
      </c>
      <c r="K47" s="75" t="s">
        <v>169</v>
      </c>
      <c r="L47" s="75" t="s">
        <v>299</v>
      </c>
      <c r="M47" s="75" t="s">
        <v>220</v>
      </c>
      <c r="N47" s="75">
        <v>232228265</v>
      </c>
      <c r="O47" s="77">
        <v>46022</v>
      </c>
      <c r="P47" s="75" t="s">
        <v>300</v>
      </c>
      <c r="Q47" s="75" t="s">
        <v>301</v>
      </c>
      <c r="R47" s="76"/>
      <c r="S47" s="76"/>
    </row>
    <row r="48" spans="1:19" ht="26.25" thickBot="1" x14ac:dyDescent="0.25">
      <c r="A48" s="16">
        <f t="shared" si="0"/>
        <v>46</v>
      </c>
      <c r="B48" s="78">
        <v>14264389</v>
      </c>
      <c r="C48" s="79" t="s">
        <v>302</v>
      </c>
      <c r="D48" s="79" t="s">
        <v>24</v>
      </c>
      <c r="E48" s="79" t="s">
        <v>303</v>
      </c>
      <c r="F48" s="79" t="s">
        <v>304</v>
      </c>
      <c r="G48" s="80">
        <v>42004</v>
      </c>
      <c r="H48" s="79" t="s">
        <v>28</v>
      </c>
      <c r="I48" s="79" t="s">
        <v>29</v>
      </c>
      <c r="J48" s="79" t="s">
        <v>305</v>
      </c>
      <c r="K48" s="79" t="s">
        <v>169</v>
      </c>
      <c r="L48" s="79" t="s">
        <v>306</v>
      </c>
      <c r="M48" s="79" t="s">
        <v>129</v>
      </c>
      <c r="N48" s="81" t="s">
        <v>307</v>
      </c>
      <c r="O48" s="82">
        <v>45762</v>
      </c>
      <c r="P48" s="83" t="s">
        <v>202</v>
      </c>
      <c r="Q48" s="83" t="s">
        <v>308</v>
      </c>
      <c r="R48" s="84" t="s">
        <v>309</v>
      </c>
      <c r="S48" s="84">
        <v>77958988</v>
      </c>
    </row>
    <row r="49" spans="1:19" ht="15" thickBot="1" x14ac:dyDescent="0.25">
      <c r="A49" s="16">
        <f t="shared" si="0"/>
        <v>47</v>
      </c>
      <c r="B49" s="85">
        <v>13457986</v>
      </c>
      <c r="C49" s="86" t="s">
        <v>310</v>
      </c>
      <c r="D49" s="87" t="s">
        <v>311</v>
      </c>
      <c r="E49" s="87" t="s">
        <v>312</v>
      </c>
      <c r="F49" s="87" t="s">
        <v>313</v>
      </c>
      <c r="G49" s="88">
        <v>41960</v>
      </c>
      <c r="H49" s="87" t="s">
        <v>41</v>
      </c>
      <c r="I49" s="87" t="s">
        <v>29</v>
      </c>
      <c r="J49" s="87" t="s">
        <v>305</v>
      </c>
      <c r="K49" s="87" t="s">
        <v>169</v>
      </c>
      <c r="L49" s="87" t="s">
        <v>314</v>
      </c>
      <c r="M49" s="87" t="s">
        <v>129</v>
      </c>
      <c r="N49" s="89" t="s">
        <v>315</v>
      </c>
      <c r="O49" s="90">
        <v>45765</v>
      </c>
      <c r="P49" s="89" t="s">
        <v>202</v>
      </c>
      <c r="Q49" s="89" t="s">
        <v>308</v>
      </c>
      <c r="R49" s="91" t="s">
        <v>316</v>
      </c>
      <c r="S49" s="91">
        <v>67403747</v>
      </c>
    </row>
    <row r="50" spans="1:19" ht="26.25" thickBot="1" x14ac:dyDescent="0.25">
      <c r="A50" s="16">
        <f t="shared" si="0"/>
        <v>48</v>
      </c>
      <c r="B50" s="85">
        <v>14759541</v>
      </c>
      <c r="C50" s="87" t="s">
        <v>317</v>
      </c>
      <c r="D50" s="92"/>
      <c r="E50" s="87" t="s">
        <v>27</v>
      </c>
      <c r="F50" s="87" t="s">
        <v>318</v>
      </c>
      <c r="G50" s="88">
        <v>42061</v>
      </c>
      <c r="H50" s="87" t="s">
        <v>41</v>
      </c>
      <c r="I50" s="87" t="s">
        <v>29</v>
      </c>
      <c r="J50" s="87" t="s">
        <v>305</v>
      </c>
      <c r="K50" s="87" t="s">
        <v>169</v>
      </c>
      <c r="L50" s="87" t="s">
        <v>306</v>
      </c>
      <c r="M50" s="87" t="s">
        <v>319</v>
      </c>
      <c r="N50" s="89">
        <v>725042400042696</v>
      </c>
      <c r="O50" s="90">
        <v>45771</v>
      </c>
      <c r="P50" s="89" t="s">
        <v>320</v>
      </c>
      <c r="Q50" s="89" t="s">
        <v>308</v>
      </c>
      <c r="R50" s="91" t="s">
        <v>321</v>
      </c>
      <c r="S50" s="91">
        <v>63911515</v>
      </c>
    </row>
    <row r="51" spans="1:19" ht="26.25" thickBot="1" x14ac:dyDescent="0.25">
      <c r="A51" s="16">
        <f t="shared" si="0"/>
        <v>49</v>
      </c>
      <c r="B51" s="85">
        <v>14817772</v>
      </c>
      <c r="C51" s="87" t="s">
        <v>322</v>
      </c>
      <c r="D51" s="92"/>
      <c r="E51" s="87" t="s">
        <v>323</v>
      </c>
      <c r="F51" s="87" t="s">
        <v>324</v>
      </c>
      <c r="G51" s="88">
        <v>42586</v>
      </c>
      <c r="H51" s="87" t="s">
        <v>41</v>
      </c>
      <c r="I51" s="87" t="s">
        <v>29</v>
      </c>
      <c r="J51" s="87" t="s">
        <v>305</v>
      </c>
      <c r="K51" s="87" t="s">
        <v>224</v>
      </c>
      <c r="L51" s="87" t="s">
        <v>306</v>
      </c>
      <c r="M51" s="87" t="s">
        <v>325</v>
      </c>
      <c r="N51" s="89" t="s">
        <v>326</v>
      </c>
      <c r="O51" s="90">
        <v>45771</v>
      </c>
      <c r="P51" s="89" t="s">
        <v>202</v>
      </c>
      <c r="Q51" s="89" t="s">
        <v>308</v>
      </c>
      <c r="R51" s="91" t="s">
        <v>327</v>
      </c>
      <c r="S51" s="91">
        <v>70755042</v>
      </c>
    </row>
    <row r="52" spans="1:19" ht="26.25" thickBot="1" x14ac:dyDescent="0.25">
      <c r="A52" s="16">
        <f t="shared" si="0"/>
        <v>50</v>
      </c>
      <c r="B52" s="85">
        <v>14831407</v>
      </c>
      <c r="C52" s="87" t="s">
        <v>328</v>
      </c>
      <c r="D52" s="92"/>
      <c r="E52" s="87" t="s">
        <v>329</v>
      </c>
      <c r="F52" s="87" t="s">
        <v>330</v>
      </c>
      <c r="G52" s="88">
        <v>42735</v>
      </c>
      <c r="H52" s="87" t="s">
        <v>41</v>
      </c>
      <c r="I52" s="87" t="s">
        <v>29</v>
      </c>
      <c r="J52" s="87" t="s">
        <v>305</v>
      </c>
      <c r="K52" s="87" t="s">
        <v>224</v>
      </c>
      <c r="L52" s="87" t="s">
        <v>306</v>
      </c>
      <c r="M52" s="87" t="s">
        <v>325</v>
      </c>
      <c r="N52" s="89" t="s">
        <v>331</v>
      </c>
      <c r="O52" s="90">
        <v>45774</v>
      </c>
      <c r="P52" s="89" t="s">
        <v>202</v>
      </c>
      <c r="Q52" s="89" t="s">
        <v>308</v>
      </c>
      <c r="R52" s="91" t="s">
        <v>332</v>
      </c>
      <c r="S52" s="91">
        <v>72257333</v>
      </c>
    </row>
    <row r="53" spans="1:19" ht="26.25" thickBot="1" x14ac:dyDescent="0.25">
      <c r="A53" s="16">
        <f t="shared" si="0"/>
        <v>51</v>
      </c>
      <c r="B53" s="85">
        <v>17016853</v>
      </c>
      <c r="C53" s="87" t="s">
        <v>333</v>
      </c>
      <c r="D53" s="87" t="s">
        <v>334</v>
      </c>
      <c r="E53" s="87" t="s">
        <v>335</v>
      </c>
      <c r="F53" s="87" t="s">
        <v>313</v>
      </c>
      <c r="G53" s="88">
        <v>43293</v>
      </c>
      <c r="H53" s="87" t="s">
        <v>41</v>
      </c>
      <c r="I53" s="87" t="s">
        <v>29</v>
      </c>
      <c r="J53" s="87" t="s">
        <v>305</v>
      </c>
      <c r="K53" s="87" t="s">
        <v>177</v>
      </c>
      <c r="L53" s="87" t="s">
        <v>336</v>
      </c>
      <c r="M53" s="87" t="s">
        <v>337</v>
      </c>
      <c r="N53" s="89" t="s">
        <v>338</v>
      </c>
      <c r="O53" s="90">
        <v>45771</v>
      </c>
      <c r="P53" s="89" t="s">
        <v>339</v>
      </c>
      <c r="Q53" s="89" t="s">
        <v>308</v>
      </c>
      <c r="R53" s="91" t="s">
        <v>340</v>
      </c>
      <c r="S53" s="91">
        <v>72200221</v>
      </c>
    </row>
    <row r="54" spans="1:19" ht="13.5" thickBot="1" x14ac:dyDescent="0.25">
      <c r="A54" s="16">
        <f t="shared" si="0"/>
        <v>52</v>
      </c>
      <c r="B54" s="85">
        <v>14420368</v>
      </c>
      <c r="C54" s="87" t="s">
        <v>341</v>
      </c>
      <c r="D54" s="87" t="s">
        <v>342</v>
      </c>
      <c r="E54" s="87" t="s">
        <v>343</v>
      </c>
      <c r="F54" s="87" t="s">
        <v>344</v>
      </c>
      <c r="G54" s="88">
        <v>42072</v>
      </c>
      <c r="H54" s="87" t="s">
        <v>41</v>
      </c>
      <c r="I54" s="87" t="s">
        <v>29</v>
      </c>
      <c r="J54" s="87" t="s">
        <v>305</v>
      </c>
      <c r="K54" s="87" t="s">
        <v>169</v>
      </c>
      <c r="L54" s="87" t="s">
        <v>212</v>
      </c>
      <c r="M54" s="87" t="s">
        <v>73</v>
      </c>
      <c r="N54" s="89">
        <v>688261155</v>
      </c>
      <c r="O54" s="90">
        <v>45773</v>
      </c>
      <c r="P54" s="89" t="s">
        <v>202</v>
      </c>
      <c r="Q54" s="89" t="s">
        <v>308</v>
      </c>
      <c r="R54" s="91" t="s">
        <v>345</v>
      </c>
      <c r="S54" s="91">
        <v>78300491</v>
      </c>
    </row>
    <row r="55" spans="1:19" ht="26.25" thickBot="1" x14ac:dyDescent="0.25">
      <c r="A55" s="16">
        <f t="shared" si="0"/>
        <v>53</v>
      </c>
      <c r="B55" s="85">
        <v>15404174</v>
      </c>
      <c r="C55" s="87" t="s">
        <v>346</v>
      </c>
      <c r="D55" s="92"/>
      <c r="E55" s="87" t="s">
        <v>347</v>
      </c>
      <c r="F55" s="87" t="s">
        <v>348</v>
      </c>
      <c r="G55" s="88">
        <v>42546</v>
      </c>
      <c r="H55" s="87" t="s">
        <v>28</v>
      </c>
      <c r="I55" s="87" t="s">
        <v>29</v>
      </c>
      <c r="J55" s="87" t="s">
        <v>305</v>
      </c>
      <c r="K55" s="87" t="s">
        <v>224</v>
      </c>
      <c r="L55" s="87" t="s">
        <v>306</v>
      </c>
      <c r="M55" s="87" t="s">
        <v>349</v>
      </c>
      <c r="N55" s="89">
        <v>688734450</v>
      </c>
      <c r="O55" s="90">
        <v>45774</v>
      </c>
      <c r="P55" s="89" t="s">
        <v>202</v>
      </c>
      <c r="Q55" s="89" t="s">
        <v>308</v>
      </c>
      <c r="R55" s="91" t="s">
        <v>350</v>
      </c>
      <c r="S55" s="91">
        <v>67426307</v>
      </c>
    </row>
    <row r="56" spans="1:19" ht="13.5" thickBot="1" x14ac:dyDescent="0.25">
      <c r="A56" s="16">
        <f t="shared" si="0"/>
        <v>54</v>
      </c>
      <c r="B56" s="85">
        <v>14263875</v>
      </c>
      <c r="C56" s="87" t="s">
        <v>351</v>
      </c>
      <c r="D56" s="87" t="s">
        <v>352</v>
      </c>
      <c r="E56" s="87" t="s">
        <v>353</v>
      </c>
      <c r="F56" s="87" t="s">
        <v>354</v>
      </c>
      <c r="G56" s="88">
        <v>41969</v>
      </c>
      <c r="H56" s="87" t="s">
        <v>41</v>
      </c>
      <c r="I56" s="87" t="s">
        <v>29</v>
      </c>
      <c r="J56" s="87" t="s">
        <v>305</v>
      </c>
      <c r="K56" s="87" t="s">
        <v>169</v>
      </c>
      <c r="L56" s="87" t="s">
        <v>212</v>
      </c>
      <c r="M56" s="87" t="s">
        <v>129</v>
      </c>
      <c r="N56" s="93">
        <v>1001177268</v>
      </c>
      <c r="O56" s="90">
        <v>45774</v>
      </c>
      <c r="P56" s="89" t="s">
        <v>202</v>
      </c>
      <c r="Q56" s="89" t="s">
        <v>308</v>
      </c>
      <c r="R56" s="91" t="s">
        <v>355</v>
      </c>
      <c r="S56" s="91">
        <v>79358356</v>
      </c>
    </row>
    <row r="57" spans="1:19" ht="13.5" thickBot="1" x14ac:dyDescent="0.25">
      <c r="A57" s="16">
        <f t="shared" si="0"/>
        <v>55</v>
      </c>
      <c r="B57" s="94">
        <v>16223740</v>
      </c>
      <c r="C57" s="87" t="s">
        <v>356</v>
      </c>
      <c r="D57" s="87" t="s">
        <v>357</v>
      </c>
      <c r="E57" s="87" t="s">
        <v>358</v>
      </c>
      <c r="F57" s="87" t="s">
        <v>359</v>
      </c>
      <c r="G57" s="88">
        <v>43739</v>
      </c>
      <c r="H57" s="87" t="s">
        <v>28</v>
      </c>
      <c r="I57" s="87" t="s">
        <v>29</v>
      </c>
      <c r="J57" s="87" t="s">
        <v>305</v>
      </c>
      <c r="K57" s="87" t="s">
        <v>177</v>
      </c>
      <c r="L57" s="87" t="s">
        <v>299</v>
      </c>
      <c r="M57" s="87" t="s">
        <v>337</v>
      </c>
      <c r="N57" s="89">
        <v>1.0032025083094899E+17</v>
      </c>
      <c r="O57" s="90">
        <v>45879</v>
      </c>
      <c r="P57" s="89" t="s">
        <v>360</v>
      </c>
      <c r="Q57" s="89" t="s">
        <v>361</v>
      </c>
      <c r="R57" s="95" t="s">
        <v>362</v>
      </c>
      <c r="S57" s="95">
        <v>67533374</v>
      </c>
    </row>
    <row r="58" spans="1:19" ht="26.25" thickBot="1" x14ac:dyDescent="0.25">
      <c r="A58" s="16">
        <f t="shared" si="0"/>
        <v>56</v>
      </c>
      <c r="B58" s="94">
        <v>14836115</v>
      </c>
      <c r="C58" s="87" t="s">
        <v>363</v>
      </c>
      <c r="D58" s="87" t="s">
        <v>364</v>
      </c>
      <c r="E58" s="87" t="s">
        <v>365</v>
      </c>
      <c r="F58" s="87" t="s">
        <v>366</v>
      </c>
      <c r="G58" s="88">
        <v>42553</v>
      </c>
      <c r="H58" s="87" t="s">
        <v>41</v>
      </c>
      <c r="I58" s="87" t="s">
        <v>29</v>
      </c>
      <c r="J58" s="87" t="s">
        <v>305</v>
      </c>
      <c r="K58" s="87" t="s">
        <v>184</v>
      </c>
      <c r="L58" s="87" t="s">
        <v>306</v>
      </c>
      <c r="M58" s="87" t="s">
        <v>325</v>
      </c>
      <c r="N58" s="89">
        <v>129385821</v>
      </c>
      <c r="O58" s="90">
        <v>45906</v>
      </c>
      <c r="P58" s="89" t="s">
        <v>360</v>
      </c>
      <c r="Q58" s="89" t="s">
        <v>367</v>
      </c>
      <c r="R58" s="91" t="s">
        <v>340</v>
      </c>
      <c r="S58" s="91">
        <v>72208557</v>
      </c>
    </row>
    <row r="59" spans="1:19" ht="13.5" thickBot="1" x14ac:dyDescent="0.25">
      <c r="A59" s="50">
        <f t="shared" ref="A59:A122" si="1">IF(C58="","",A58+1)</f>
        <v>57</v>
      </c>
      <c r="B59" s="94">
        <v>14266042</v>
      </c>
      <c r="C59" s="87" t="s">
        <v>368</v>
      </c>
      <c r="D59" s="87" t="s">
        <v>369</v>
      </c>
      <c r="E59" s="87" t="s">
        <v>370</v>
      </c>
      <c r="F59" s="87" t="s">
        <v>371</v>
      </c>
      <c r="G59" s="88">
        <v>42095</v>
      </c>
      <c r="H59" s="87" t="s">
        <v>28</v>
      </c>
      <c r="I59" s="87" t="s">
        <v>29</v>
      </c>
      <c r="J59" s="87" t="s">
        <v>305</v>
      </c>
      <c r="K59" s="87" t="s">
        <v>169</v>
      </c>
      <c r="L59" s="87" t="s">
        <v>372</v>
      </c>
      <c r="M59" s="87" t="s">
        <v>129</v>
      </c>
      <c r="N59" s="89">
        <v>186807033</v>
      </c>
      <c r="O59" s="90">
        <v>45894</v>
      </c>
      <c r="P59" s="89" t="s">
        <v>360</v>
      </c>
      <c r="Q59" s="89" t="s">
        <v>367</v>
      </c>
      <c r="R59" s="95" t="s">
        <v>373</v>
      </c>
      <c r="S59" s="95">
        <v>61785088</v>
      </c>
    </row>
    <row r="60" spans="1:19" ht="26.25" thickBot="1" x14ac:dyDescent="0.25">
      <c r="A60" s="50">
        <f t="shared" si="1"/>
        <v>58</v>
      </c>
      <c r="B60" s="96">
        <v>14151765</v>
      </c>
      <c r="C60" s="87" t="s">
        <v>374</v>
      </c>
      <c r="D60" s="87" t="s">
        <v>375</v>
      </c>
      <c r="E60" s="87" t="s">
        <v>376</v>
      </c>
      <c r="F60" s="87" t="s">
        <v>377</v>
      </c>
      <c r="G60" s="88">
        <v>42111</v>
      </c>
      <c r="H60" s="87" t="s">
        <v>41</v>
      </c>
      <c r="I60" s="87" t="s">
        <v>29</v>
      </c>
      <c r="J60" s="87" t="s">
        <v>305</v>
      </c>
      <c r="K60" s="87" t="s">
        <v>169</v>
      </c>
      <c r="L60" s="87" t="s">
        <v>306</v>
      </c>
      <c r="M60" s="87" t="s">
        <v>129</v>
      </c>
      <c r="N60" s="89">
        <v>725102100098778</v>
      </c>
      <c r="O60" s="90">
        <v>45951</v>
      </c>
      <c r="P60" s="89" t="s">
        <v>378</v>
      </c>
      <c r="Q60" s="89" t="s">
        <v>379</v>
      </c>
      <c r="R60" s="91" t="s">
        <v>380</v>
      </c>
      <c r="S60" s="91">
        <v>77915715</v>
      </c>
    </row>
    <row r="61" spans="1:19" ht="26.25" thickBot="1" x14ac:dyDescent="0.25">
      <c r="A61" s="50">
        <f t="shared" si="1"/>
        <v>59</v>
      </c>
      <c r="B61" s="96">
        <v>15593527</v>
      </c>
      <c r="C61" s="87" t="s">
        <v>381</v>
      </c>
      <c r="D61" s="87" t="s">
        <v>382</v>
      </c>
      <c r="E61" s="87" t="s">
        <v>383</v>
      </c>
      <c r="F61" s="87" t="s">
        <v>384</v>
      </c>
      <c r="G61" s="88">
        <v>42931</v>
      </c>
      <c r="H61" s="87" t="s">
        <v>41</v>
      </c>
      <c r="I61" s="87" t="s">
        <v>29</v>
      </c>
      <c r="J61" s="87" t="s">
        <v>305</v>
      </c>
      <c r="K61" s="87" t="s">
        <v>224</v>
      </c>
      <c r="L61" s="87" t="s">
        <v>306</v>
      </c>
      <c r="M61" s="87" t="s">
        <v>385</v>
      </c>
      <c r="N61" s="89">
        <v>725102100083313</v>
      </c>
      <c r="O61" s="90">
        <v>45951</v>
      </c>
      <c r="P61" s="89" t="s">
        <v>386</v>
      </c>
      <c r="Q61" s="89" t="s">
        <v>379</v>
      </c>
      <c r="R61" s="91" t="s">
        <v>387</v>
      </c>
      <c r="S61" s="91">
        <v>76476885</v>
      </c>
    </row>
    <row r="62" spans="1:19" ht="26.25" thickBot="1" x14ac:dyDescent="0.25">
      <c r="A62" s="50">
        <f t="shared" si="1"/>
        <v>60</v>
      </c>
      <c r="B62" s="97"/>
      <c r="C62" s="87" t="s">
        <v>388</v>
      </c>
      <c r="D62" s="92"/>
      <c r="E62" s="87" t="s">
        <v>329</v>
      </c>
      <c r="F62" s="87" t="s">
        <v>330</v>
      </c>
      <c r="G62" s="88">
        <v>44185</v>
      </c>
      <c r="H62" s="87" t="s">
        <v>41</v>
      </c>
      <c r="I62" s="87" t="s">
        <v>29</v>
      </c>
      <c r="J62" s="87" t="s">
        <v>305</v>
      </c>
      <c r="K62" s="87" t="s">
        <v>177</v>
      </c>
      <c r="L62" s="87" t="s">
        <v>306</v>
      </c>
      <c r="M62" s="87" t="s">
        <v>337</v>
      </c>
      <c r="N62" s="89" t="s">
        <v>389</v>
      </c>
      <c r="O62" s="90">
        <v>45997</v>
      </c>
      <c r="P62" s="89" t="s">
        <v>378</v>
      </c>
      <c r="Q62" s="89" t="s">
        <v>379</v>
      </c>
      <c r="R62" s="91" t="s">
        <v>332</v>
      </c>
      <c r="S62" s="91">
        <v>72257333</v>
      </c>
    </row>
    <row r="63" spans="1:19" ht="13.5" thickBot="1" x14ac:dyDescent="0.25">
      <c r="A63" s="50">
        <f t="shared" si="1"/>
        <v>61</v>
      </c>
      <c r="B63" s="96">
        <v>16470285</v>
      </c>
      <c r="C63" s="87" t="s">
        <v>390</v>
      </c>
      <c r="D63" s="87" t="s">
        <v>391</v>
      </c>
      <c r="E63" s="87" t="s">
        <v>343</v>
      </c>
      <c r="F63" s="87" t="s">
        <v>344</v>
      </c>
      <c r="G63" s="88">
        <v>44034</v>
      </c>
      <c r="H63" s="87" t="s">
        <v>41</v>
      </c>
      <c r="I63" s="87" t="s">
        <v>29</v>
      </c>
      <c r="J63" s="87" t="s">
        <v>305</v>
      </c>
      <c r="K63" s="87" t="s">
        <v>177</v>
      </c>
      <c r="L63" s="87" t="s">
        <v>212</v>
      </c>
      <c r="M63" s="87" t="s">
        <v>337</v>
      </c>
      <c r="N63" s="89">
        <v>232612497</v>
      </c>
      <c r="O63" s="90">
        <v>46022</v>
      </c>
      <c r="P63" s="89" t="s">
        <v>378</v>
      </c>
      <c r="Q63" s="89" t="s">
        <v>379</v>
      </c>
      <c r="R63" s="91" t="s">
        <v>345</v>
      </c>
      <c r="S63" s="91">
        <v>78300491</v>
      </c>
    </row>
    <row r="64" spans="1:19" thickBot="1" x14ac:dyDescent="0.25">
      <c r="A64" s="50">
        <f t="shared" si="1"/>
        <v>62</v>
      </c>
      <c r="B64" s="58">
        <v>14835929</v>
      </c>
      <c r="C64" s="59" t="s">
        <v>392</v>
      </c>
      <c r="D64" s="62"/>
      <c r="E64" s="59" t="s">
        <v>393</v>
      </c>
      <c r="F64" s="59" t="s">
        <v>394</v>
      </c>
      <c r="G64" s="98">
        <v>42908</v>
      </c>
      <c r="H64" s="59" t="s">
        <v>41</v>
      </c>
      <c r="I64" s="59" t="s">
        <v>29</v>
      </c>
      <c r="J64" s="59" t="s">
        <v>395</v>
      </c>
      <c r="K64" s="59" t="s">
        <v>177</v>
      </c>
      <c r="L64" s="59" t="s">
        <v>229</v>
      </c>
      <c r="M64" s="59" t="s">
        <v>385</v>
      </c>
      <c r="N64" s="59">
        <v>1.4262504205263401E+19</v>
      </c>
      <c r="O64" s="61">
        <v>45767</v>
      </c>
      <c r="P64" s="59">
        <v>120</v>
      </c>
      <c r="Q64" s="62" t="s">
        <v>396</v>
      </c>
      <c r="R64" s="62" t="s">
        <v>397</v>
      </c>
      <c r="S64" s="99">
        <v>79350760</v>
      </c>
    </row>
    <row r="65" spans="1:19" thickBot="1" x14ac:dyDescent="0.25">
      <c r="A65" s="50">
        <f t="shared" si="1"/>
        <v>63</v>
      </c>
      <c r="B65" s="63">
        <v>16563682</v>
      </c>
      <c r="C65" s="64" t="s">
        <v>398</v>
      </c>
      <c r="D65" s="64" t="s">
        <v>399</v>
      </c>
      <c r="E65" s="64" t="s">
        <v>400</v>
      </c>
      <c r="F65" s="64" t="s">
        <v>401</v>
      </c>
      <c r="G65" s="100">
        <v>42223</v>
      </c>
      <c r="H65" s="64" t="s">
        <v>41</v>
      </c>
      <c r="I65" s="64" t="s">
        <v>29</v>
      </c>
      <c r="J65" s="64" t="s">
        <v>395</v>
      </c>
      <c r="K65" s="64" t="s">
        <v>184</v>
      </c>
      <c r="L65" s="64" t="s">
        <v>402</v>
      </c>
      <c r="M65" s="64" t="s">
        <v>403</v>
      </c>
      <c r="N65" s="64">
        <v>2.4042025295140599E+20</v>
      </c>
      <c r="O65" s="66">
        <v>45771</v>
      </c>
      <c r="P65" s="64">
        <v>120</v>
      </c>
      <c r="Q65" s="67" t="s">
        <v>396</v>
      </c>
      <c r="R65" s="67" t="s">
        <v>397</v>
      </c>
      <c r="S65" s="101">
        <v>74355207</v>
      </c>
    </row>
    <row r="66" spans="1:19" thickBot="1" x14ac:dyDescent="0.25">
      <c r="A66" s="50">
        <f t="shared" si="1"/>
        <v>64</v>
      </c>
      <c r="B66" s="63">
        <v>14446409</v>
      </c>
      <c r="C66" s="64" t="s">
        <v>404</v>
      </c>
      <c r="D66" s="67"/>
      <c r="E66" s="64" t="s">
        <v>405</v>
      </c>
      <c r="F66" s="64" t="s">
        <v>406</v>
      </c>
      <c r="G66" s="100">
        <v>42167</v>
      </c>
      <c r="H66" s="64" t="s">
        <v>28</v>
      </c>
      <c r="I66" s="64" t="s">
        <v>29</v>
      </c>
      <c r="J66" s="64" t="s">
        <v>395</v>
      </c>
      <c r="K66" s="64" t="s">
        <v>184</v>
      </c>
      <c r="L66" s="64" t="s">
        <v>58</v>
      </c>
      <c r="M66" s="64" t="s">
        <v>129</v>
      </c>
      <c r="N66" s="64">
        <v>1.42625041912511E+19</v>
      </c>
      <c r="O66" s="66">
        <v>45766</v>
      </c>
      <c r="P66" s="64">
        <v>120</v>
      </c>
      <c r="Q66" s="67" t="s">
        <v>396</v>
      </c>
      <c r="R66" s="67" t="s">
        <v>407</v>
      </c>
      <c r="S66" s="101">
        <v>71461651</v>
      </c>
    </row>
    <row r="67" spans="1:19" thickBot="1" x14ac:dyDescent="0.3">
      <c r="A67" s="50">
        <f t="shared" si="1"/>
        <v>65</v>
      </c>
      <c r="B67" s="63">
        <v>14761142</v>
      </c>
      <c r="C67" s="102" t="s">
        <v>408</v>
      </c>
      <c r="D67" s="102" t="s">
        <v>409</v>
      </c>
      <c r="E67" s="102" t="s">
        <v>282</v>
      </c>
      <c r="F67" s="102" t="s">
        <v>410</v>
      </c>
      <c r="G67" s="103">
        <v>42615</v>
      </c>
      <c r="H67" s="102" t="s">
        <v>41</v>
      </c>
      <c r="I67" s="102" t="s">
        <v>29</v>
      </c>
      <c r="J67" s="102" t="s">
        <v>395</v>
      </c>
      <c r="K67" s="102" t="s">
        <v>224</v>
      </c>
      <c r="L67" s="102" t="s">
        <v>411</v>
      </c>
      <c r="M67" s="102" t="s">
        <v>412</v>
      </c>
      <c r="N67" s="64">
        <v>3040220924</v>
      </c>
      <c r="O67" s="66">
        <v>45772</v>
      </c>
      <c r="P67" s="64">
        <v>120</v>
      </c>
      <c r="Q67" s="67" t="s">
        <v>396</v>
      </c>
      <c r="R67" s="67" t="s">
        <v>413</v>
      </c>
      <c r="S67" s="101">
        <v>78332222</v>
      </c>
    </row>
    <row r="68" spans="1:19" thickBot="1" x14ac:dyDescent="0.3">
      <c r="A68" s="50">
        <f t="shared" si="1"/>
        <v>66</v>
      </c>
      <c r="B68" s="63">
        <v>14441843</v>
      </c>
      <c r="C68" s="64" t="s">
        <v>414</v>
      </c>
      <c r="D68" s="64" t="s">
        <v>415</v>
      </c>
      <c r="E68" s="64" t="s">
        <v>416</v>
      </c>
      <c r="F68" s="64" t="s">
        <v>417</v>
      </c>
      <c r="G68" s="103">
        <v>42375</v>
      </c>
      <c r="H68" s="64" t="s">
        <v>41</v>
      </c>
      <c r="I68" s="64" t="s">
        <v>29</v>
      </c>
      <c r="J68" s="64" t="s">
        <v>395</v>
      </c>
      <c r="K68" s="64" t="s">
        <v>184</v>
      </c>
      <c r="L68" s="64" t="s">
        <v>95</v>
      </c>
      <c r="M68" s="64" t="s">
        <v>412</v>
      </c>
      <c r="N68" s="64">
        <v>69927951554</v>
      </c>
      <c r="O68" s="66">
        <v>45766</v>
      </c>
      <c r="P68" s="64">
        <v>120</v>
      </c>
      <c r="Q68" s="67" t="s">
        <v>396</v>
      </c>
      <c r="R68" s="67" t="s">
        <v>418</v>
      </c>
      <c r="S68" s="101">
        <v>70775907</v>
      </c>
    </row>
    <row r="69" spans="1:19" thickBot="1" x14ac:dyDescent="0.3">
      <c r="A69" s="50">
        <f t="shared" si="1"/>
        <v>67</v>
      </c>
      <c r="B69" s="63">
        <v>14759673</v>
      </c>
      <c r="C69" s="64" t="s">
        <v>419</v>
      </c>
      <c r="D69" s="64" t="s">
        <v>420</v>
      </c>
      <c r="E69" s="64" t="s">
        <v>421</v>
      </c>
      <c r="F69" s="64" t="s">
        <v>422</v>
      </c>
      <c r="G69" s="66">
        <v>42668</v>
      </c>
      <c r="H69" s="64" t="s">
        <v>28</v>
      </c>
      <c r="I69" s="64" t="s">
        <v>29</v>
      </c>
      <c r="J69" s="64" t="s">
        <v>395</v>
      </c>
      <c r="K69" s="64" t="s">
        <v>184</v>
      </c>
      <c r="L69" s="64" t="s">
        <v>423</v>
      </c>
      <c r="M69" s="64" t="s">
        <v>385</v>
      </c>
      <c r="N69" s="104">
        <v>69778074572</v>
      </c>
      <c r="O69" s="66">
        <v>45775</v>
      </c>
      <c r="P69" s="64">
        <v>120</v>
      </c>
      <c r="Q69" s="67" t="s">
        <v>396</v>
      </c>
      <c r="R69" s="67" t="s">
        <v>418</v>
      </c>
      <c r="S69" s="101">
        <v>76450196</v>
      </c>
    </row>
    <row r="70" spans="1:19" thickBot="1" x14ac:dyDescent="0.3">
      <c r="A70" s="50">
        <f t="shared" si="1"/>
        <v>68</v>
      </c>
      <c r="B70" s="63">
        <v>14833519</v>
      </c>
      <c r="C70" s="64" t="s">
        <v>188</v>
      </c>
      <c r="D70" s="64" t="s">
        <v>68</v>
      </c>
      <c r="E70" s="64" t="s">
        <v>424</v>
      </c>
      <c r="F70" s="64" t="s">
        <v>425</v>
      </c>
      <c r="G70" s="103">
        <v>42837</v>
      </c>
      <c r="H70" s="64" t="s">
        <v>41</v>
      </c>
      <c r="I70" s="64" t="s">
        <v>29</v>
      </c>
      <c r="J70" s="64" t="s">
        <v>395</v>
      </c>
      <c r="K70" s="64" t="s">
        <v>224</v>
      </c>
      <c r="L70" s="64" t="s">
        <v>426</v>
      </c>
      <c r="M70" s="102" t="s">
        <v>412</v>
      </c>
      <c r="N70" s="64">
        <v>725042900123879</v>
      </c>
      <c r="O70" s="66">
        <v>45776</v>
      </c>
      <c r="P70" s="64">
        <v>120</v>
      </c>
      <c r="Q70" s="67" t="s">
        <v>396</v>
      </c>
      <c r="R70" s="67" t="s">
        <v>418</v>
      </c>
      <c r="S70" s="101">
        <v>67553132</v>
      </c>
    </row>
    <row r="71" spans="1:19" thickBot="1" x14ac:dyDescent="0.25">
      <c r="A71" s="50">
        <f t="shared" si="1"/>
        <v>69</v>
      </c>
      <c r="B71" s="69">
        <v>15402873</v>
      </c>
      <c r="C71" s="64" t="s">
        <v>287</v>
      </c>
      <c r="D71" s="67"/>
      <c r="E71" s="64" t="s">
        <v>427</v>
      </c>
      <c r="F71" s="64" t="s">
        <v>428</v>
      </c>
      <c r="G71" s="100">
        <v>43112</v>
      </c>
      <c r="H71" s="64" t="s">
        <v>28</v>
      </c>
      <c r="I71" s="64" t="s">
        <v>29</v>
      </c>
      <c r="J71" s="64" t="s">
        <v>395</v>
      </c>
      <c r="K71" s="64" t="s">
        <v>177</v>
      </c>
      <c r="L71" s="64" t="s">
        <v>58</v>
      </c>
      <c r="M71" s="64" t="s">
        <v>385</v>
      </c>
      <c r="N71" s="64">
        <v>691094843</v>
      </c>
      <c r="O71" s="66">
        <v>45779</v>
      </c>
      <c r="P71" s="64">
        <v>130</v>
      </c>
      <c r="Q71" s="67" t="s">
        <v>429</v>
      </c>
      <c r="R71" s="67" t="s">
        <v>418</v>
      </c>
      <c r="S71" s="101">
        <v>72204057</v>
      </c>
    </row>
    <row r="72" spans="1:19" thickBot="1" x14ac:dyDescent="0.25">
      <c r="A72" s="50">
        <f t="shared" si="1"/>
        <v>70</v>
      </c>
      <c r="B72" s="70">
        <v>14443898</v>
      </c>
      <c r="C72" s="64" t="s">
        <v>430</v>
      </c>
      <c r="D72" s="67"/>
      <c r="E72" s="64" t="s">
        <v>431</v>
      </c>
      <c r="F72" s="64" t="s">
        <v>348</v>
      </c>
      <c r="G72" s="100">
        <v>42314</v>
      </c>
      <c r="H72" s="64" t="s">
        <v>28</v>
      </c>
      <c r="I72" s="64" t="s">
        <v>29</v>
      </c>
      <c r="J72" s="64" t="s">
        <v>395</v>
      </c>
      <c r="K72" s="64" t="s">
        <v>184</v>
      </c>
      <c r="L72" s="64" t="s">
        <v>432</v>
      </c>
      <c r="M72" s="64" t="s">
        <v>403</v>
      </c>
      <c r="N72" s="64">
        <v>476078091</v>
      </c>
      <c r="O72" s="66">
        <v>45839</v>
      </c>
      <c r="P72" s="64">
        <v>130</v>
      </c>
      <c r="Q72" s="67" t="s">
        <v>429</v>
      </c>
      <c r="R72" s="67" t="s">
        <v>418</v>
      </c>
      <c r="S72" s="101">
        <v>71408914</v>
      </c>
    </row>
    <row r="73" spans="1:19" ht="26.25" thickBot="1" x14ac:dyDescent="0.25">
      <c r="A73" s="50">
        <f t="shared" si="1"/>
        <v>71</v>
      </c>
      <c r="B73" s="70">
        <v>16690621</v>
      </c>
      <c r="C73" s="64" t="s">
        <v>68</v>
      </c>
      <c r="D73" s="67"/>
      <c r="E73" s="64" t="s">
        <v>433</v>
      </c>
      <c r="F73" s="64" t="s">
        <v>69</v>
      </c>
      <c r="G73" s="100">
        <v>42821</v>
      </c>
      <c r="H73" s="64" t="s">
        <v>41</v>
      </c>
      <c r="I73" s="64" t="s">
        <v>29</v>
      </c>
      <c r="J73" s="64" t="s">
        <v>395</v>
      </c>
      <c r="K73" s="64" t="s">
        <v>224</v>
      </c>
      <c r="L73" s="64" t="s">
        <v>434</v>
      </c>
      <c r="M73" s="102" t="s">
        <v>412</v>
      </c>
      <c r="N73" s="64" t="s">
        <v>435</v>
      </c>
      <c r="O73" s="66">
        <v>45839</v>
      </c>
      <c r="P73" s="64">
        <v>130</v>
      </c>
      <c r="Q73" s="67" t="s">
        <v>429</v>
      </c>
      <c r="R73" s="67" t="s">
        <v>418</v>
      </c>
      <c r="S73" s="101">
        <v>67458833</v>
      </c>
    </row>
    <row r="74" spans="1:19" thickBot="1" x14ac:dyDescent="0.25">
      <c r="A74" s="50">
        <f t="shared" si="1"/>
        <v>72</v>
      </c>
      <c r="B74" s="70">
        <v>16576047</v>
      </c>
      <c r="C74" s="64" t="s">
        <v>436</v>
      </c>
      <c r="D74" s="64" t="s">
        <v>404</v>
      </c>
      <c r="E74" s="64" t="s">
        <v>437</v>
      </c>
      <c r="F74" s="64" t="s">
        <v>421</v>
      </c>
      <c r="G74" s="100">
        <v>43150</v>
      </c>
      <c r="H74" s="64" t="s">
        <v>28</v>
      </c>
      <c r="I74" s="64" t="s">
        <v>29</v>
      </c>
      <c r="J74" s="64" t="s">
        <v>395</v>
      </c>
      <c r="K74" s="64" t="s">
        <v>177</v>
      </c>
      <c r="L74" s="64" t="s">
        <v>438</v>
      </c>
      <c r="M74" s="64" t="s">
        <v>385</v>
      </c>
      <c r="N74" s="64">
        <v>43344029</v>
      </c>
      <c r="O74" s="66">
        <v>45840</v>
      </c>
      <c r="P74" s="64">
        <v>130</v>
      </c>
      <c r="Q74" s="67" t="s">
        <v>429</v>
      </c>
      <c r="R74" s="67" t="s">
        <v>418</v>
      </c>
      <c r="S74" s="101">
        <v>73755823</v>
      </c>
    </row>
    <row r="75" spans="1:19" thickBot="1" x14ac:dyDescent="0.25">
      <c r="A75" s="50">
        <f t="shared" si="1"/>
        <v>73</v>
      </c>
      <c r="B75" s="70">
        <v>14266331</v>
      </c>
      <c r="C75" s="64" t="s">
        <v>439</v>
      </c>
      <c r="D75" s="67"/>
      <c r="E75" s="64" t="s">
        <v>440</v>
      </c>
      <c r="F75" s="64" t="s">
        <v>441</v>
      </c>
      <c r="G75" s="100">
        <v>42265</v>
      </c>
      <c r="H75" s="64" t="s">
        <v>41</v>
      </c>
      <c r="I75" s="64" t="s">
        <v>29</v>
      </c>
      <c r="J75" s="64" t="s">
        <v>395</v>
      </c>
      <c r="K75" s="64" t="s">
        <v>169</v>
      </c>
      <c r="L75" s="64" t="s">
        <v>442</v>
      </c>
      <c r="M75" s="64" t="s">
        <v>403</v>
      </c>
      <c r="N75" s="64" t="s">
        <v>443</v>
      </c>
      <c r="O75" s="66">
        <v>45922</v>
      </c>
      <c r="P75" s="64">
        <v>130</v>
      </c>
      <c r="Q75" s="67" t="s">
        <v>429</v>
      </c>
      <c r="R75" s="67" t="s">
        <v>418</v>
      </c>
      <c r="S75" s="101">
        <v>70731242</v>
      </c>
    </row>
    <row r="76" spans="1:19" thickBot="1" x14ac:dyDescent="0.25">
      <c r="A76" s="50">
        <f t="shared" si="1"/>
        <v>74</v>
      </c>
      <c r="B76" s="70">
        <v>14833923</v>
      </c>
      <c r="C76" s="105" t="s">
        <v>444</v>
      </c>
      <c r="D76" s="105" t="s">
        <v>445</v>
      </c>
      <c r="E76" s="105" t="s">
        <v>446</v>
      </c>
      <c r="F76" s="105" t="s">
        <v>447</v>
      </c>
      <c r="G76" s="100">
        <v>42944</v>
      </c>
      <c r="H76" s="105" t="s">
        <v>41</v>
      </c>
      <c r="I76" s="64" t="s">
        <v>29</v>
      </c>
      <c r="J76" s="64" t="s">
        <v>395</v>
      </c>
      <c r="K76" s="64" t="s">
        <v>224</v>
      </c>
      <c r="L76" s="105" t="s">
        <v>448</v>
      </c>
      <c r="M76" s="102" t="s">
        <v>412</v>
      </c>
      <c r="N76" s="105" t="s">
        <v>449</v>
      </c>
      <c r="O76" s="106">
        <v>45923</v>
      </c>
      <c r="P76" s="105">
        <v>130</v>
      </c>
      <c r="Q76" s="67" t="s">
        <v>429</v>
      </c>
      <c r="R76" s="107" t="s">
        <v>450</v>
      </c>
      <c r="S76" s="108">
        <v>71490016</v>
      </c>
    </row>
    <row r="77" spans="1:19" thickBot="1" x14ac:dyDescent="0.25">
      <c r="A77" s="50">
        <f t="shared" si="1"/>
        <v>75</v>
      </c>
      <c r="B77" s="70">
        <v>14835341</v>
      </c>
      <c r="C77" s="105" t="s">
        <v>451</v>
      </c>
      <c r="D77" s="105" t="s">
        <v>24</v>
      </c>
      <c r="E77" s="105" t="s">
        <v>452</v>
      </c>
      <c r="F77" s="105" t="s">
        <v>453</v>
      </c>
      <c r="G77" s="100">
        <v>42083</v>
      </c>
      <c r="H77" s="105" t="s">
        <v>28</v>
      </c>
      <c r="I77" s="105" t="s">
        <v>29</v>
      </c>
      <c r="J77" s="105" t="s">
        <v>395</v>
      </c>
      <c r="K77" s="105" t="s">
        <v>169</v>
      </c>
      <c r="L77" s="105" t="s">
        <v>454</v>
      </c>
      <c r="M77" s="105" t="s">
        <v>129</v>
      </c>
      <c r="N77" s="105">
        <v>2.40920252951405E+20</v>
      </c>
      <c r="O77" s="106">
        <v>45924</v>
      </c>
      <c r="P77" s="105">
        <v>130</v>
      </c>
      <c r="Q77" s="107" t="s">
        <v>429</v>
      </c>
      <c r="R77" s="107" t="s">
        <v>418</v>
      </c>
      <c r="S77" s="108">
        <v>69485409</v>
      </c>
    </row>
    <row r="78" spans="1:19" thickBot="1" x14ac:dyDescent="0.25">
      <c r="A78" s="50">
        <f t="shared" si="1"/>
        <v>76</v>
      </c>
      <c r="B78" s="70">
        <v>16551953</v>
      </c>
      <c r="C78" s="105" t="s">
        <v>455</v>
      </c>
      <c r="D78" s="105" t="s">
        <v>456</v>
      </c>
      <c r="E78" s="105" t="s">
        <v>457</v>
      </c>
      <c r="F78" s="105" t="s">
        <v>458</v>
      </c>
      <c r="G78" s="100">
        <v>42594</v>
      </c>
      <c r="H78" s="105" t="s">
        <v>41</v>
      </c>
      <c r="I78" s="64" t="s">
        <v>29</v>
      </c>
      <c r="J78" s="64" t="s">
        <v>395</v>
      </c>
      <c r="K78" s="64" t="s">
        <v>184</v>
      </c>
      <c r="L78" s="64" t="s">
        <v>423</v>
      </c>
      <c r="M78" s="102" t="s">
        <v>412</v>
      </c>
      <c r="N78" s="105">
        <v>131093374</v>
      </c>
      <c r="O78" s="106">
        <v>45927</v>
      </c>
      <c r="P78" s="105">
        <v>130</v>
      </c>
      <c r="Q78" s="107" t="s">
        <v>429</v>
      </c>
      <c r="R78" s="67" t="s">
        <v>418</v>
      </c>
      <c r="S78" s="108">
        <v>72241720</v>
      </c>
    </row>
    <row r="79" spans="1:19" thickBot="1" x14ac:dyDescent="0.25">
      <c r="A79" s="50">
        <f t="shared" si="1"/>
        <v>77</v>
      </c>
      <c r="B79" s="70">
        <v>17030368</v>
      </c>
      <c r="C79" s="64" t="s">
        <v>459</v>
      </c>
      <c r="D79" s="64" t="s">
        <v>460</v>
      </c>
      <c r="E79" s="64" t="s">
        <v>461</v>
      </c>
      <c r="F79" s="64" t="s">
        <v>462</v>
      </c>
      <c r="G79" s="100">
        <v>42609</v>
      </c>
      <c r="H79" s="64" t="s">
        <v>28</v>
      </c>
      <c r="I79" s="64" t="s">
        <v>29</v>
      </c>
      <c r="J79" s="64" t="s">
        <v>395</v>
      </c>
      <c r="K79" s="64" t="s">
        <v>184</v>
      </c>
      <c r="L79" s="64" t="s">
        <v>423</v>
      </c>
      <c r="M79" s="102" t="s">
        <v>412</v>
      </c>
      <c r="N79" s="105">
        <v>2.70920252951405E+20</v>
      </c>
      <c r="O79" s="106">
        <v>45927</v>
      </c>
      <c r="P79" s="105">
        <v>130</v>
      </c>
      <c r="Q79" s="107" t="s">
        <v>429</v>
      </c>
      <c r="R79" s="67" t="s">
        <v>418</v>
      </c>
      <c r="S79" s="108">
        <v>69504241</v>
      </c>
    </row>
    <row r="80" spans="1:19" thickBot="1" x14ac:dyDescent="0.25">
      <c r="A80" s="50">
        <f t="shared" si="1"/>
        <v>78</v>
      </c>
      <c r="B80" s="71">
        <v>14795154</v>
      </c>
      <c r="C80" s="71" t="s">
        <v>463</v>
      </c>
      <c r="D80" s="72"/>
      <c r="E80" s="71" t="s">
        <v>249</v>
      </c>
      <c r="F80" s="71" t="s">
        <v>394</v>
      </c>
      <c r="G80" s="109">
        <v>42481</v>
      </c>
      <c r="H80" s="71" t="s">
        <v>28</v>
      </c>
      <c r="I80" s="71" t="s">
        <v>29</v>
      </c>
      <c r="J80" s="71" t="s">
        <v>395</v>
      </c>
      <c r="K80" s="71" t="s">
        <v>184</v>
      </c>
      <c r="L80" s="71" t="s">
        <v>454</v>
      </c>
      <c r="M80" s="71" t="s">
        <v>403</v>
      </c>
      <c r="N80" s="117" t="s">
        <v>464</v>
      </c>
      <c r="O80" s="118"/>
      <c r="P80" s="118"/>
      <c r="Q80" s="119"/>
      <c r="R80" s="72" t="s">
        <v>418</v>
      </c>
      <c r="S80" s="110">
        <v>67857472</v>
      </c>
    </row>
    <row r="81" spans="1:19" thickBot="1" x14ac:dyDescent="0.25">
      <c r="A81" s="50">
        <f t="shared" si="1"/>
        <v>79</v>
      </c>
      <c r="B81" s="74">
        <v>16242928</v>
      </c>
      <c r="C81" s="64" t="s">
        <v>465</v>
      </c>
      <c r="D81" s="64" t="s">
        <v>466</v>
      </c>
      <c r="E81" s="64" t="s">
        <v>467</v>
      </c>
      <c r="F81" s="64" t="s">
        <v>384</v>
      </c>
      <c r="G81" s="100">
        <v>43628</v>
      </c>
      <c r="H81" s="64" t="s">
        <v>28</v>
      </c>
      <c r="I81" s="64" t="s">
        <v>29</v>
      </c>
      <c r="J81" s="64" t="s">
        <v>395</v>
      </c>
      <c r="K81" s="64" t="s">
        <v>177</v>
      </c>
      <c r="L81" s="64" t="s">
        <v>58</v>
      </c>
      <c r="M81" s="64" t="s">
        <v>337</v>
      </c>
      <c r="N81" s="64" t="s">
        <v>468</v>
      </c>
      <c r="O81" s="106">
        <v>46022</v>
      </c>
      <c r="P81" s="64">
        <v>135</v>
      </c>
      <c r="Q81" s="67"/>
      <c r="R81" s="67" t="s">
        <v>418</v>
      </c>
      <c r="S81" s="101">
        <v>62666743</v>
      </c>
    </row>
    <row r="82" spans="1:19" thickBot="1" x14ac:dyDescent="0.3">
      <c r="A82" s="50">
        <f t="shared" si="1"/>
        <v>80</v>
      </c>
      <c r="B82" s="74">
        <v>16576009</v>
      </c>
      <c r="C82" s="105" t="s">
        <v>469</v>
      </c>
      <c r="D82" s="105" t="s">
        <v>62</v>
      </c>
      <c r="E82" s="105" t="s">
        <v>437</v>
      </c>
      <c r="F82" s="105" t="s">
        <v>421</v>
      </c>
      <c r="G82" s="111">
        <v>42156</v>
      </c>
      <c r="H82" s="105" t="s">
        <v>41</v>
      </c>
      <c r="I82" s="105" t="s">
        <v>29</v>
      </c>
      <c r="J82" s="105" t="s">
        <v>395</v>
      </c>
      <c r="K82" s="105" t="s">
        <v>169</v>
      </c>
      <c r="L82" s="105" t="s">
        <v>438</v>
      </c>
      <c r="M82" s="105" t="s">
        <v>403</v>
      </c>
      <c r="N82" s="105" t="s">
        <v>470</v>
      </c>
      <c r="O82" s="106">
        <v>46022</v>
      </c>
      <c r="P82" s="105">
        <v>135</v>
      </c>
      <c r="Q82" s="107"/>
      <c r="R82" s="107" t="s">
        <v>418</v>
      </c>
      <c r="S82" s="108">
        <v>73755823</v>
      </c>
    </row>
    <row r="83" spans="1:19" thickBot="1" x14ac:dyDescent="0.3">
      <c r="A83" s="50">
        <f t="shared" si="1"/>
        <v>81</v>
      </c>
      <c r="B83" s="74">
        <v>16261898</v>
      </c>
      <c r="C83" s="64" t="s">
        <v>54</v>
      </c>
      <c r="D83" s="64" t="s">
        <v>471</v>
      </c>
      <c r="E83" s="64" t="s">
        <v>282</v>
      </c>
      <c r="F83" s="64" t="s">
        <v>417</v>
      </c>
      <c r="G83" s="111">
        <v>43196</v>
      </c>
      <c r="H83" s="64" t="s">
        <v>41</v>
      </c>
      <c r="I83" s="105" t="s">
        <v>29</v>
      </c>
      <c r="J83" s="105" t="s">
        <v>395</v>
      </c>
      <c r="K83" s="105" t="s">
        <v>177</v>
      </c>
      <c r="L83" s="64" t="s">
        <v>448</v>
      </c>
      <c r="M83" s="64" t="s">
        <v>385</v>
      </c>
      <c r="N83" s="64" t="s">
        <v>472</v>
      </c>
      <c r="O83" s="106">
        <v>46022</v>
      </c>
      <c r="P83" s="105">
        <v>135</v>
      </c>
      <c r="Q83" s="67"/>
      <c r="R83" s="67" t="s">
        <v>418</v>
      </c>
      <c r="S83" s="101">
        <v>65424518</v>
      </c>
    </row>
    <row r="84" spans="1:19" thickBot="1" x14ac:dyDescent="0.3">
      <c r="A84" s="50">
        <f t="shared" si="1"/>
        <v>82</v>
      </c>
      <c r="B84" s="74">
        <v>16904507</v>
      </c>
      <c r="C84" s="105" t="s">
        <v>473</v>
      </c>
      <c r="D84" s="105" t="s">
        <v>474</v>
      </c>
      <c r="E84" s="105" t="s">
        <v>475</v>
      </c>
      <c r="F84" s="105" t="s">
        <v>476</v>
      </c>
      <c r="G84" s="111">
        <v>42136</v>
      </c>
      <c r="H84" s="105" t="s">
        <v>41</v>
      </c>
      <c r="I84" s="105" t="s">
        <v>29</v>
      </c>
      <c r="J84" s="105" t="s">
        <v>395</v>
      </c>
      <c r="K84" s="105" t="s">
        <v>169</v>
      </c>
      <c r="L84" s="105" t="s">
        <v>259</v>
      </c>
      <c r="M84" s="105" t="s">
        <v>403</v>
      </c>
      <c r="N84" s="105" t="s">
        <v>477</v>
      </c>
      <c r="O84" s="106">
        <v>46022</v>
      </c>
      <c r="P84" s="105">
        <v>135</v>
      </c>
      <c r="Q84" s="107"/>
      <c r="R84" s="67" t="s">
        <v>418</v>
      </c>
      <c r="S84" s="108">
        <v>67299897</v>
      </c>
    </row>
    <row r="85" spans="1:19" thickBot="1" x14ac:dyDescent="0.3">
      <c r="A85" s="50">
        <f t="shared" si="1"/>
        <v>83</v>
      </c>
      <c r="B85" s="74">
        <v>13529308</v>
      </c>
      <c r="C85" s="105" t="s">
        <v>478</v>
      </c>
      <c r="D85" s="105" t="s">
        <v>479</v>
      </c>
      <c r="E85" s="105" t="s">
        <v>480</v>
      </c>
      <c r="F85" s="105" t="s">
        <v>481</v>
      </c>
      <c r="G85" s="111">
        <v>42768</v>
      </c>
      <c r="H85" s="105" t="s">
        <v>41</v>
      </c>
      <c r="I85" s="105" t="s">
        <v>29</v>
      </c>
      <c r="J85" s="105" t="s">
        <v>395</v>
      </c>
      <c r="K85" s="105" t="s">
        <v>224</v>
      </c>
      <c r="L85" s="105" t="s">
        <v>482</v>
      </c>
      <c r="M85" s="102" t="s">
        <v>412</v>
      </c>
      <c r="N85" s="64" t="s">
        <v>483</v>
      </c>
      <c r="O85" s="106">
        <v>46022</v>
      </c>
      <c r="P85" s="105">
        <v>135</v>
      </c>
      <c r="Q85" s="67"/>
      <c r="R85" s="67" t="s">
        <v>407</v>
      </c>
      <c r="S85" s="101">
        <v>63909072</v>
      </c>
    </row>
    <row r="86" spans="1:19" ht="27" thickBot="1" x14ac:dyDescent="0.3">
      <c r="A86" s="50">
        <f t="shared" si="1"/>
        <v>84</v>
      </c>
      <c r="B86" s="74">
        <v>15527771</v>
      </c>
      <c r="C86" s="105" t="s">
        <v>484</v>
      </c>
      <c r="D86" s="105" t="s">
        <v>485</v>
      </c>
      <c r="E86" s="105" t="s">
        <v>486</v>
      </c>
      <c r="F86" s="105" t="s">
        <v>487</v>
      </c>
      <c r="G86" s="111">
        <v>42731</v>
      </c>
      <c r="H86" s="105" t="s">
        <v>41</v>
      </c>
      <c r="I86" s="105" t="s">
        <v>29</v>
      </c>
      <c r="J86" s="105" t="s">
        <v>395</v>
      </c>
      <c r="K86" s="105" t="s">
        <v>224</v>
      </c>
      <c r="L86" s="105" t="s">
        <v>488</v>
      </c>
      <c r="M86" s="105" t="s">
        <v>385</v>
      </c>
      <c r="N86" s="64" t="s">
        <v>489</v>
      </c>
      <c r="O86" s="106">
        <v>46022</v>
      </c>
      <c r="P86" s="105">
        <v>135</v>
      </c>
      <c r="Q86" s="67"/>
      <c r="R86" s="67" t="s">
        <v>418</v>
      </c>
      <c r="S86" s="101">
        <v>72717820</v>
      </c>
    </row>
    <row r="87" spans="1:19" thickBot="1" x14ac:dyDescent="0.3">
      <c r="A87" s="50">
        <f t="shared" si="1"/>
        <v>85</v>
      </c>
      <c r="B87" s="112">
        <v>15484701</v>
      </c>
      <c r="C87" s="112" t="s">
        <v>490</v>
      </c>
      <c r="D87" s="112" t="s">
        <v>485</v>
      </c>
      <c r="E87" s="112" t="s">
        <v>491</v>
      </c>
      <c r="F87" s="112" t="s">
        <v>492</v>
      </c>
      <c r="G87" s="113">
        <v>42074</v>
      </c>
      <c r="H87" s="112" t="s">
        <v>41</v>
      </c>
      <c r="I87" s="112" t="s">
        <v>29</v>
      </c>
      <c r="J87" s="112" t="s">
        <v>395</v>
      </c>
      <c r="K87" s="112" t="s">
        <v>169</v>
      </c>
      <c r="L87" s="112" t="s">
        <v>432</v>
      </c>
      <c r="M87" s="112" t="s">
        <v>129</v>
      </c>
      <c r="N87" s="112" t="s">
        <v>493</v>
      </c>
      <c r="O87" s="114">
        <v>46022</v>
      </c>
      <c r="P87" s="112">
        <v>35</v>
      </c>
      <c r="Q87" s="115" t="s">
        <v>494</v>
      </c>
      <c r="R87" s="115" t="s">
        <v>418</v>
      </c>
      <c r="S87" s="116">
        <v>72294796</v>
      </c>
    </row>
    <row r="88" spans="1:19" ht="27" thickBot="1" x14ac:dyDescent="0.3">
      <c r="A88" s="50">
        <f t="shared" si="1"/>
        <v>86</v>
      </c>
      <c r="B88" s="74">
        <v>16343747</v>
      </c>
      <c r="C88" s="105" t="s">
        <v>495</v>
      </c>
      <c r="D88" s="105" t="s">
        <v>496</v>
      </c>
      <c r="E88" s="105" t="s">
        <v>497</v>
      </c>
      <c r="F88" s="105" t="s">
        <v>457</v>
      </c>
      <c r="G88" s="111">
        <v>42279</v>
      </c>
      <c r="H88" s="105" t="s">
        <v>41</v>
      </c>
      <c r="I88" s="105" t="s">
        <v>29</v>
      </c>
      <c r="J88" s="105" t="s">
        <v>395</v>
      </c>
      <c r="K88" s="105" t="s">
        <v>169</v>
      </c>
      <c r="L88" s="105" t="s">
        <v>498</v>
      </c>
      <c r="M88" s="105" t="s">
        <v>403</v>
      </c>
      <c r="N88" s="64" t="s">
        <v>499</v>
      </c>
      <c r="O88" s="106">
        <v>46022</v>
      </c>
      <c r="P88" s="105">
        <v>135</v>
      </c>
      <c r="Q88" s="67"/>
      <c r="R88" s="67" t="s">
        <v>418</v>
      </c>
      <c r="S88" s="101">
        <v>60372211</v>
      </c>
    </row>
    <row r="89" spans="1:19" ht="26.25" thickBot="1" x14ac:dyDescent="0.25">
      <c r="A89" s="50">
        <f t="shared" si="1"/>
        <v>87</v>
      </c>
      <c r="B89" s="58">
        <v>13880450</v>
      </c>
      <c r="C89" s="59" t="s">
        <v>500</v>
      </c>
      <c r="D89" s="59" t="s">
        <v>501</v>
      </c>
      <c r="E89" s="59" t="s">
        <v>502</v>
      </c>
      <c r="F89" s="59" t="s">
        <v>503</v>
      </c>
      <c r="G89" s="60">
        <v>41505</v>
      </c>
      <c r="H89" s="59" t="s">
        <v>41</v>
      </c>
      <c r="I89" s="59" t="s">
        <v>29</v>
      </c>
      <c r="J89" s="59" t="s">
        <v>504</v>
      </c>
      <c r="K89" s="59" t="s">
        <v>71</v>
      </c>
      <c r="L89" s="59" t="s">
        <v>505</v>
      </c>
      <c r="M89" s="59" t="s">
        <v>506</v>
      </c>
      <c r="N89" s="59">
        <v>687448376</v>
      </c>
      <c r="O89" s="61">
        <v>45771</v>
      </c>
      <c r="P89" s="59">
        <v>120</v>
      </c>
      <c r="Q89" s="62"/>
      <c r="R89" s="62" t="s">
        <v>507</v>
      </c>
      <c r="S89" s="99">
        <v>67686465</v>
      </c>
    </row>
    <row r="90" spans="1:19" ht="26.25" thickBot="1" x14ac:dyDescent="0.25">
      <c r="A90" s="50">
        <f t="shared" si="1"/>
        <v>88</v>
      </c>
      <c r="B90" s="63" t="s">
        <v>508</v>
      </c>
      <c r="C90" s="64" t="s">
        <v>509</v>
      </c>
      <c r="D90" s="64" t="s">
        <v>357</v>
      </c>
      <c r="E90" s="64" t="s">
        <v>377</v>
      </c>
      <c r="F90" s="64" t="s">
        <v>343</v>
      </c>
      <c r="G90" s="65">
        <v>41610</v>
      </c>
      <c r="H90" s="64" t="s">
        <v>28</v>
      </c>
      <c r="I90" s="64" t="s">
        <v>29</v>
      </c>
      <c r="J90" s="64" t="s">
        <v>504</v>
      </c>
      <c r="K90" s="64" t="s">
        <v>71</v>
      </c>
      <c r="L90" s="64" t="s">
        <v>510</v>
      </c>
      <c r="M90" s="64" t="s">
        <v>506</v>
      </c>
      <c r="N90" s="64">
        <v>59235171753</v>
      </c>
      <c r="O90" s="66">
        <v>45771</v>
      </c>
      <c r="P90" s="64">
        <v>120</v>
      </c>
      <c r="Q90" s="67"/>
      <c r="R90" s="67" t="s">
        <v>511</v>
      </c>
      <c r="S90" s="101">
        <v>72003062</v>
      </c>
    </row>
    <row r="91" spans="1:19" ht="26.25" thickBot="1" x14ac:dyDescent="0.25">
      <c r="A91" s="50">
        <f t="shared" si="1"/>
        <v>89</v>
      </c>
      <c r="B91" s="63">
        <v>13893785</v>
      </c>
      <c r="C91" s="64" t="s">
        <v>512</v>
      </c>
      <c r="D91" s="67"/>
      <c r="E91" s="64" t="s">
        <v>323</v>
      </c>
      <c r="F91" s="64" t="s">
        <v>324</v>
      </c>
      <c r="G91" s="65">
        <v>41847</v>
      </c>
      <c r="H91" s="64" t="s">
        <v>41</v>
      </c>
      <c r="I91" s="64" t="s">
        <v>29</v>
      </c>
      <c r="J91" s="64" t="s">
        <v>504</v>
      </c>
      <c r="K91" s="64" t="s">
        <v>71</v>
      </c>
      <c r="L91" s="67" t="s">
        <v>513</v>
      </c>
      <c r="M91" s="64" t="s">
        <v>514</v>
      </c>
      <c r="N91" s="64" t="s">
        <v>515</v>
      </c>
      <c r="O91" s="66">
        <v>45771</v>
      </c>
      <c r="P91" s="64">
        <v>120</v>
      </c>
      <c r="Q91" s="67"/>
      <c r="R91" s="67" t="s">
        <v>516</v>
      </c>
      <c r="S91" s="101">
        <v>70755042</v>
      </c>
    </row>
    <row r="92" spans="1:19" ht="26.25" thickBot="1" x14ac:dyDescent="0.25">
      <c r="A92" s="50">
        <f t="shared" si="1"/>
        <v>90</v>
      </c>
      <c r="B92" s="63">
        <v>13290349</v>
      </c>
      <c r="C92" s="64" t="s">
        <v>500</v>
      </c>
      <c r="D92" s="64" t="s">
        <v>68</v>
      </c>
      <c r="E92" s="64" t="s">
        <v>517</v>
      </c>
      <c r="F92" s="64" t="s">
        <v>518</v>
      </c>
      <c r="G92" s="65">
        <v>40604</v>
      </c>
      <c r="H92" s="64" t="s">
        <v>41</v>
      </c>
      <c r="I92" s="64" t="s">
        <v>29</v>
      </c>
      <c r="J92" s="64" t="s">
        <v>504</v>
      </c>
      <c r="K92" s="64" t="s">
        <v>519</v>
      </c>
      <c r="L92" s="64" t="s">
        <v>513</v>
      </c>
      <c r="M92" s="64" t="s">
        <v>520</v>
      </c>
      <c r="N92" s="64">
        <v>725042400086819</v>
      </c>
      <c r="O92" s="66">
        <v>45771</v>
      </c>
      <c r="P92" s="64">
        <v>120</v>
      </c>
      <c r="Q92" s="67"/>
      <c r="R92" s="67" t="s">
        <v>521</v>
      </c>
      <c r="S92" s="101">
        <v>72222266</v>
      </c>
    </row>
    <row r="93" spans="1:19" ht="26.25" thickBot="1" x14ac:dyDescent="0.25">
      <c r="A93" s="50">
        <f t="shared" si="1"/>
        <v>91</v>
      </c>
      <c r="B93" s="63">
        <v>12712691</v>
      </c>
      <c r="C93" s="64" t="s">
        <v>522</v>
      </c>
      <c r="D93" s="67"/>
      <c r="E93" s="64" t="s">
        <v>282</v>
      </c>
      <c r="F93" s="64" t="s">
        <v>410</v>
      </c>
      <c r="G93" s="65">
        <v>40840</v>
      </c>
      <c r="H93" s="64" t="s">
        <v>28</v>
      </c>
      <c r="I93" s="64" t="s">
        <v>29</v>
      </c>
      <c r="J93" s="64" t="s">
        <v>504</v>
      </c>
      <c r="K93" s="64" t="s">
        <v>31</v>
      </c>
      <c r="L93" s="64" t="s">
        <v>523</v>
      </c>
      <c r="M93" s="64" t="s">
        <v>524</v>
      </c>
      <c r="N93" s="64">
        <v>3040219964</v>
      </c>
      <c r="O93" s="66">
        <v>45772</v>
      </c>
      <c r="P93" s="64">
        <v>120</v>
      </c>
      <c r="Q93" s="120"/>
      <c r="R93" s="67" t="s">
        <v>525</v>
      </c>
      <c r="S93" s="101">
        <v>78332222</v>
      </c>
    </row>
    <row r="94" spans="1:19" ht="13.5" thickBot="1" x14ac:dyDescent="0.25">
      <c r="A94" s="50">
        <f t="shared" si="1"/>
        <v>92</v>
      </c>
      <c r="B94" s="63">
        <v>14420367</v>
      </c>
      <c r="C94" s="64" t="s">
        <v>526</v>
      </c>
      <c r="D94" s="64" t="s">
        <v>527</v>
      </c>
      <c r="E94" s="64" t="s">
        <v>343</v>
      </c>
      <c r="F94" s="64" t="s">
        <v>344</v>
      </c>
      <c r="G94" s="65">
        <v>41537</v>
      </c>
      <c r="H94" s="64" t="s">
        <v>28</v>
      </c>
      <c r="I94" s="64" t="s">
        <v>29</v>
      </c>
      <c r="J94" s="64" t="s">
        <v>504</v>
      </c>
      <c r="K94" s="64" t="s">
        <v>71</v>
      </c>
      <c r="L94" s="64" t="s">
        <v>528</v>
      </c>
      <c r="M94" s="64" t="s">
        <v>506</v>
      </c>
      <c r="N94" s="64">
        <v>688261847</v>
      </c>
      <c r="O94" s="66">
        <v>45773</v>
      </c>
      <c r="P94" s="64">
        <v>120</v>
      </c>
      <c r="Q94" s="67"/>
      <c r="R94" s="67" t="s">
        <v>529</v>
      </c>
      <c r="S94" s="101">
        <v>73798361</v>
      </c>
    </row>
    <row r="95" spans="1:19" ht="26.25" thickBot="1" x14ac:dyDescent="0.25">
      <c r="A95" s="50">
        <f t="shared" si="1"/>
        <v>93</v>
      </c>
      <c r="B95" s="63">
        <v>14817641</v>
      </c>
      <c r="C95" s="64" t="s">
        <v>530</v>
      </c>
      <c r="D95" s="64" t="s">
        <v>531</v>
      </c>
      <c r="E95" s="64" t="s">
        <v>323</v>
      </c>
      <c r="F95" s="64" t="s">
        <v>532</v>
      </c>
      <c r="G95" s="65">
        <v>41669</v>
      </c>
      <c r="H95" s="64" t="s">
        <v>41</v>
      </c>
      <c r="I95" s="64" t="s">
        <v>29</v>
      </c>
      <c r="J95" s="64" t="s">
        <v>504</v>
      </c>
      <c r="K95" s="64" t="s">
        <v>49</v>
      </c>
      <c r="L95" s="64" t="s">
        <v>533</v>
      </c>
      <c r="M95" s="64" t="s">
        <v>506</v>
      </c>
      <c r="N95" s="64" t="s">
        <v>534</v>
      </c>
      <c r="O95" s="66">
        <v>45773</v>
      </c>
      <c r="P95" s="64">
        <v>120</v>
      </c>
      <c r="Q95" s="67"/>
      <c r="R95" s="67" t="s">
        <v>535</v>
      </c>
      <c r="S95" s="101">
        <v>72757200</v>
      </c>
    </row>
    <row r="96" spans="1:19" ht="26.25" thickBot="1" x14ac:dyDescent="0.25">
      <c r="A96" s="50">
        <f t="shared" si="1"/>
        <v>94</v>
      </c>
      <c r="B96" s="63">
        <v>12342808</v>
      </c>
      <c r="C96" s="64" t="s">
        <v>536</v>
      </c>
      <c r="D96" s="64" t="s">
        <v>382</v>
      </c>
      <c r="E96" s="64" t="s">
        <v>537</v>
      </c>
      <c r="F96" s="64" t="s">
        <v>343</v>
      </c>
      <c r="G96" s="65">
        <v>40651</v>
      </c>
      <c r="H96" s="64" t="s">
        <v>41</v>
      </c>
      <c r="I96" s="64" t="s">
        <v>29</v>
      </c>
      <c r="J96" s="64" t="s">
        <v>504</v>
      </c>
      <c r="K96" s="64" t="s">
        <v>519</v>
      </c>
      <c r="L96" s="64" t="s">
        <v>538</v>
      </c>
      <c r="M96" s="64" t="s">
        <v>539</v>
      </c>
      <c r="N96" s="64">
        <v>69918051050</v>
      </c>
      <c r="O96" s="66">
        <v>45773</v>
      </c>
      <c r="P96" s="64">
        <v>120</v>
      </c>
      <c r="Q96" s="67"/>
      <c r="R96" s="67" t="s">
        <v>540</v>
      </c>
      <c r="S96" s="101">
        <v>67598207</v>
      </c>
    </row>
    <row r="97" spans="1:19" ht="13.5" thickBot="1" x14ac:dyDescent="0.25">
      <c r="A97" s="50">
        <f t="shared" si="1"/>
        <v>95</v>
      </c>
      <c r="B97" s="63">
        <v>10996034</v>
      </c>
      <c r="C97" s="64" t="s">
        <v>541</v>
      </c>
      <c r="D97" s="64" t="s">
        <v>542</v>
      </c>
      <c r="E97" s="64" t="s">
        <v>312</v>
      </c>
      <c r="F97" s="64" t="s">
        <v>313</v>
      </c>
      <c r="G97" s="66">
        <v>41397</v>
      </c>
      <c r="H97" s="64" t="s">
        <v>28</v>
      </c>
      <c r="I97" s="64" t="s">
        <v>29</v>
      </c>
      <c r="J97" s="64" t="s">
        <v>504</v>
      </c>
      <c r="K97" s="64" t="s">
        <v>49</v>
      </c>
      <c r="L97" s="64" t="s">
        <v>543</v>
      </c>
      <c r="M97" s="64" t="s">
        <v>544</v>
      </c>
      <c r="N97" s="64" t="s">
        <v>338</v>
      </c>
      <c r="O97" s="66">
        <v>45771</v>
      </c>
      <c r="P97" s="64" t="s">
        <v>545</v>
      </c>
      <c r="Q97" s="67"/>
      <c r="R97" s="67" t="s">
        <v>546</v>
      </c>
      <c r="S97" s="101">
        <v>67403747</v>
      </c>
    </row>
    <row r="98" spans="1:19" ht="13.5" thickBot="1" x14ac:dyDescent="0.25">
      <c r="A98" s="50">
        <f t="shared" si="1"/>
        <v>96</v>
      </c>
      <c r="B98" s="63">
        <v>14150290</v>
      </c>
      <c r="C98" s="64" t="s">
        <v>485</v>
      </c>
      <c r="D98" s="64" t="s">
        <v>547</v>
      </c>
      <c r="E98" s="64" t="s">
        <v>335</v>
      </c>
      <c r="F98" s="64" t="s">
        <v>313</v>
      </c>
      <c r="G98" s="66">
        <v>41144</v>
      </c>
      <c r="H98" s="64" t="s">
        <v>41</v>
      </c>
      <c r="I98" s="64" t="s">
        <v>29</v>
      </c>
      <c r="J98" s="64" t="s">
        <v>504</v>
      </c>
      <c r="K98" s="64" t="s">
        <v>31</v>
      </c>
      <c r="L98" s="64" t="s">
        <v>548</v>
      </c>
      <c r="M98" s="64" t="s">
        <v>544</v>
      </c>
      <c r="N98" s="64" t="s">
        <v>338</v>
      </c>
      <c r="O98" s="66">
        <v>45771</v>
      </c>
      <c r="P98" s="64" t="s">
        <v>545</v>
      </c>
      <c r="Q98" s="67"/>
      <c r="R98" s="67" t="s">
        <v>549</v>
      </c>
      <c r="S98" s="101">
        <v>72200221</v>
      </c>
    </row>
    <row r="99" spans="1:19" ht="13.5" thickBot="1" x14ac:dyDescent="0.25">
      <c r="A99" s="50">
        <f t="shared" si="1"/>
        <v>97</v>
      </c>
      <c r="B99" s="63">
        <v>13352014</v>
      </c>
      <c r="C99" s="64" t="s">
        <v>485</v>
      </c>
      <c r="D99" s="64" t="s">
        <v>281</v>
      </c>
      <c r="E99" s="64" t="s">
        <v>353</v>
      </c>
      <c r="F99" s="64" t="s">
        <v>354</v>
      </c>
      <c r="G99" s="66">
        <v>40958</v>
      </c>
      <c r="H99" s="64" t="s">
        <v>41</v>
      </c>
      <c r="I99" s="64" t="s">
        <v>29</v>
      </c>
      <c r="J99" s="64" t="s">
        <v>504</v>
      </c>
      <c r="K99" s="64" t="s">
        <v>31</v>
      </c>
      <c r="L99" s="64" t="s">
        <v>550</v>
      </c>
      <c r="M99" s="64" t="s">
        <v>551</v>
      </c>
      <c r="N99" s="64">
        <v>1001177268</v>
      </c>
      <c r="O99" s="66">
        <v>45774</v>
      </c>
      <c r="P99" s="64" t="s">
        <v>545</v>
      </c>
      <c r="Q99" s="67"/>
      <c r="R99" s="67" t="s">
        <v>552</v>
      </c>
      <c r="S99" s="101">
        <v>69455088</v>
      </c>
    </row>
    <row r="100" spans="1:19" ht="13.5" thickBot="1" x14ac:dyDescent="0.25">
      <c r="A100" s="50">
        <f t="shared" si="1"/>
        <v>98</v>
      </c>
      <c r="B100" s="63">
        <v>15140644</v>
      </c>
      <c r="C100" s="64" t="s">
        <v>238</v>
      </c>
      <c r="D100" s="64" t="s">
        <v>553</v>
      </c>
      <c r="E100" s="64" t="s">
        <v>354</v>
      </c>
      <c r="F100" s="64" t="s">
        <v>554</v>
      </c>
      <c r="G100" s="66">
        <v>41295</v>
      </c>
      <c r="H100" s="64" t="s">
        <v>28</v>
      </c>
      <c r="I100" s="64" t="s">
        <v>29</v>
      </c>
      <c r="J100" s="64" t="s">
        <v>504</v>
      </c>
      <c r="K100" s="64" t="s">
        <v>49</v>
      </c>
      <c r="L100" s="64" t="s">
        <v>550</v>
      </c>
      <c r="M100" s="64" t="s">
        <v>555</v>
      </c>
      <c r="N100" s="64">
        <v>1001177268</v>
      </c>
      <c r="O100" s="66">
        <v>45774</v>
      </c>
      <c r="P100" s="64" t="s">
        <v>545</v>
      </c>
      <c r="Q100" s="67"/>
      <c r="R100" s="67" t="s">
        <v>552</v>
      </c>
      <c r="S100" s="101">
        <v>69455088</v>
      </c>
    </row>
    <row r="101" spans="1:19" ht="26.25" thickBot="1" x14ac:dyDescent="0.25">
      <c r="A101" s="50">
        <f t="shared" si="1"/>
        <v>99</v>
      </c>
      <c r="B101" s="63">
        <v>15140023</v>
      </c>
      <c r="C101" s="64" t="s">
        <v>556</v>
      </c>
      <c r="D101" s="64" t="s">
        <v>557</v>
      </c>
      <c r="E101" s="64" t="s">
        <v>558</v>
      </c>
      <c r="F101" s="64" t="s">
        <v>559</v>
      </c>
      <c r="G101" s="66">
        <v>41915</v>
      </c>
      <c r="H101" s="64" t="s">
        <v>41</v>
      </c>
      <c r="I101" s="64" t="s">
        <v>560</v>
      </c>
      <c r="J101" s="64" t="s">
        <v>504</v>
      </c>
      <c r="K101" s="64" t="s">
        <v>71</v>
      </c>
      <c r="L101" s="64" t="s">
        <v>513</v>
      </c>
      <c r="M101" s="64" t="s">
        <v>514</v>
      </c>
      <c r="N101" s="64" t="s">
        <v>561</v>
      </c>
      <c r="O101" s="66">
        <v>45773</v>
      </c>
      <c r="P101" s="64">
        <v>120</v>
      </c>
      <c r="Q101" s="67"/>
      <c r="R101" s="67" t="s">
        <v>562</v>
      </c>
      <c r="S101" s="101">
        <v>69417717</v>
      </c>
    </row>
    <row r="102" spans="1:19" ht="13.5" thickBot="1" x14ac:dyDescent="0.25">
      <c r="A102" s="50">
        <f t="shared" si="1"/>
        <v>100</v>
      </c>
      <c r="B102" s="63">
        <v>14092470</v>
      </c>
      <c r="C102" s="64" t="s">
        <v>563</v>
      </c>
      <c r="D102" s="67"/>
      <c r="E102" s="64" t="s">
        <v>48</v>
      </c>
      <c r="F102" s="64" t="s">
        <v>48</v>
      </c>
      <c r="G102" s="66">
        <v>41899</v>
      </c>
      <c r="H102" s="64" t="s">
        <v>41</v>
      </c>
      <c r="I102" s="64" t="s">
        <v>29</v>
      </c>
      <c r="J102" s="64" t="s">
        <v>504</v>
      </c>
      <c r="K102" s="64" t="s">
        <v>71</v>
      </c>
      <c r="L102" s="64" t="s">
        <v>564</v>
      </c>
      <c r="M102" s="64" t="s">
        <v>514</v>
      </c>
      <c r="N102" s="64" t="s">
        <v>52</v>
      </c>
      <c r="O102" s="66">
        <v>45772</v>
      </c>
      <c r="P102" s="64" t="s">
        <v>545</v>
      </c>
      <c r="Q102" s="67"/>
      <c r="R102" s="67" t="s">
        <v>565</v>
      </c>
      <c r="S102" s="101">
        <v>73798361</v>
      </c>
    </row>
    <row r="103" spans="1:19" ht="26.25" thickBot="1" x14ac:dyDescent="0.25">
      <c r="A103" s="50">
        <f t="shared" si="1"/>
        <v>101</v>
      </c>
      <c r="B103" s="63">
        <v>13896695</v>
      </c>
      <c r="C103" s="64" t="s">
        <v>62</v>
      </c>
      <c r="D103" s="64" t="s">
        <v>500</v>
      </c>
      <c r="E103" s="64" t="s">
        <v>347</v>
      </c>
      <c r="F103" s="64" t="s">
        <v>348</v>
      </c>
      <c r="G103" s="66">
        <v>41821</v>
      </c>
      <c r="H103" s="64" t="s">
        <v>41</v>
      </c>
      <c r="I103" s="64" t="s">
        <v>29</v>
      </c>
      <c r="J103" s="64" t="s">
        <v>504</v>
      </c>
      <c r="K103" s="64" t="s">
        <v>71</v>
      </c>
      <c r="L103" s="64" t="s">
        <v>513</v>
      </c>
      <c r="M103" s="64" t="s">
        <v>514</v>
      </c>
      <c r="N103" s="64">
        <v>688934675</v>
      </c>
      <c r="O103" s="66">
        <v>45774</v>
      </c>
      <c r="P103" s="64">
        <v>120</v>
      </c>
      <c r="Q103" s="67"/>
      <c r="R103" s="67" t="s">
        <v>566</v>
      </c>
      <c r="S103" s="101">
        <v>67426307</v>
      </c>
    </row>
    <row r="104" spans="1:19" ht="15.75" customHeight="1" thickBot="1" x14ac:dyDescent="0.25">
      <c r="A104" s="50">
        <f t="shared" si="1"/>
        <v>102</v>
      </c>
      <c r="B104" s="63">
        <v>14815273</v>
      </c>
      <c r="C104" s="64" t="s">
        <v>567</v>
      </c>
      <c r="D104" s="67"/>
      <c r="E104" s="64" t="s">
        <v>568</v>
      </c>
      <c r="F104" s="64" t="s">
        <v>569</v>
      </c>
      <c r="G104" s="66">
        <v>41194</v>
      </c>
      <c r="H104" s="64" t="s">
        <v>28</v>
      </c>
      <c r="I104" s="64" t="s">
        <v>29</v>
      </c>
      <c r="J104" s="64" t="s">
        <v>504</v>
      </c>
      <c r="K104" s="64" t="s">
        <v>570</v>
      </c>
      <c r="L104" s="64" t="s">
        <v>571</v>
      </c>
      <c r="M104" s="64" t="s">
        <v>51</v>
      </c>
      <c r="N104" s="64">
        <v>145576450583</v>
      </c>
      <c r="O104" s="66">
        <v>45775</v>
      </c>
      <c r="P104" s="64">
        <v>120</v>
      </c>
      <c r="Q104" s="67"/>
      <c r="R104" s="67" t="s">
        <v>572</v>
      </c>
      <c r="S104" s="101">
        <v>79796276</v>
      </c>
    </row>
    <row r="105" spans="1:19" ht="15.75" customHeight="1" thickBot="1" x14ac:dyDescent="0.25">
      <c r="A105" s="50">
        <f t="shared" si="1"/>
        <v>103</v>
      </c>
      <c r="B105" s="63">
        <v>13130828</v>
      </c>
      <c r="C105" s="64" t="s">
        <v>573</v>
      </c>
      <c r="D105" s="67" t="s">
        <v>574</v>
      </c>
      <c r="E105" s="64" t="s">
        <v>575</v>
      </c>
      <c r="F105" s="64" t="s">
        <v>576</v>
      </c>
      <c r="G105" s="66">
        <v>40905</v>
      </c>
      <c r="H105" s="64" t="s">
        <v>28</v>
      </c>
      <c r="I105" s="64" t="s">
        <v>29</v>
      </c>
      <c r="J105" s="64" t="s">
        <v>504</v>
      </c>
      <c r="K105" s="64" t="s">
        <v>116</v>
      </c>
      <c r="L105" s="64" t="s">
        <v>577</v>
      </c>
      <c r="M105" s="64" t="s">
        <v>144</v>
      </c>
      <c r="N105" s="64">
        <v>69908095621</v>
      </c>
      <c r="O105" s="66">
        <v>45776</v>
      </c>
      <c r="P105" s="64">
        <v>120</v>
      </c>
      <c r="Q105" s="67"/>
      <c r="R105" s="67" t="s">
        <v>578</v>
      </c>
      <c r="S105" s="101">
        <v>69432244</v>
      </c>
    </row>
    <row r="106" spans="1:19" ht="15.75" customHeight="1" thickBot="1" x14ac:dyDescent="0.25">
      <c r="A106" s="50">
        <f t="shared" si="1"/>
        <v>104</v>
      </c>
      <c r="B106" s="63">
        <v>14696713</v>
      </c>
      <c r="C106" s="64" t="s">
        <v>237</v>
      </c>
      <c r="D106" s="64" t="s">
        <v>579</v>
      </c>
      <c r="E106" s="64" t="s">
        <v>157</v>
      </c>
      <c r="F106" s="64" t="s">
        <v>580</v>
      </c>
      <c r="G106" s="66">
        <v>41244</v>
      </c>
      <c r="H106" s="64" t="s">
        <v>28</v>
      </c>
      <c r="I106" s="64" t="s">
        <v>29</v>
      </c>
      <c r="J106" s="64" t="s">
        <v>504</v>
      </c>
      <c r="K106" s="64" t="s">
        <v>31</v>
      </c>
      <c r="L106" s="64" t="s">
        <v>523</v>
      </c>
      <c r="M106" s="64" t="s">
        <v>581</v>
      </c>
      <c r="N106" s="64">
        <v>69818105579</v>
      </c>
      <c r="O106" s="66">
        <v>45775</v>
      </c>
      <c r="P106" s="64">
        <v>120</v>
      </c>
      <c r="Q106" s="67"/>
      <c r="R106" s="67" t="s">
        <v>582</v>
      </c>
      <c r="S106" s="101">
        <v>65367828</v>
      </c>
    </row>
    <row r="107" spans="1:19" ht="15.75" customHeight="1" thickBot="1" x14ac:dyDescent="0.25">
      <c r="A107" s="50">
        <f t="shared" si="1"/>
        <v>105</v>
      </c>
      <c r="B107" s="70">
        <v>15168256</v>
      </c>
      <c r="C107" s="67" t="s">
        <v>463</v>
      </c>
      <c r="D107" s="67" t="s">
        <v>583</v>
      </c>
      <c r="E107" s="67" t="s">
        <v>283</v>
      </c>
      <c r="F107" s="67" t="s">
        <v>401</v>
      </c>
      <c r="G107" s="66">
        <v>40822</v>
      </c>
      <c r="H107" s="64" t="s">
        <v>28</v>
      </c>
      <c r="I107" s="64" t="s">
        <v>29</v>
      </c>
      <c r="J107" s="64" t="s">
        <v>504</v>
      </c>
      <c r="K107" s="64" t="s">
        <v>31</v>
      </c>
      <c r="L107" s="64" t="s">
        <v>584</v>
      </c>
      <c r="M107" s="64" t="s">
        <v>144</v>
      </c>
      <c r="N107" s="64" t="s">
        <v>585</v>
      </c>
      <c r="O107" s="66">
        <v>45880</v>
      </c>
      <c r="P107" s="64">
        <v>130</v>
      </c>
      <c r="Q107" s="67"/>
      <c r="R107" s="67" t="s">
        <v>586</v>
      </c>
      <c r="S107" s="101">
        <v>67571058</v>
      </c>
    </row>
    <row r="108" spans="1:19" ht="15.75" customHeight="1" thickBot="1" x14ac:dyDescent="0.25">
      <c r="A108" s="50">
        <f t="shared" si="1"/>
        <v>106</v>
      </c>
      <c r="B108" s="70">
        <v>14445649</v>
      </c>
      <c r="C108" s="67" t="s">
        <v>587</v>
      </c>
      <c r="D108" s="67" t="s">
        <v>588</v>
      </c>
      <c r="E108" s="67" t="s">
        <v>589</v>
      </c>
      <c r="F108" s="67" t="s">
        <v>344</v>
      </c>
      <c r="G108" s="66">
        <v>41985</v>
      </c>
      <c r="H108" s="64" t="s">
        <v>28</v>
      </c>
      <c r="I108" s="64" t="s">
        <v>29</v>
      </c>
      <c r="J108" s="64" t="s">
        <v>504</v>
      </c>
      <c r="K108" s="64" t="s">
        <v>71</v>
      </c>
      <c r="L108" s="64" t="s">
        <v>528</v>
      </c>
      <c r="M108" s="64" t="s">
        <v>129</v>
      </c>
      <c r="N108" s="64">
        <v>1.42625092418188E+19</v>
      </c>
      <c r="O108" s="66">
        <v>45924</v>
      </c>
      <c r="P108" s="64">
        <v>130</v>
      </c>
      <c r="Q108" s="67"/>
      <c r="R108" s="67" t="s">
        <v>590</v>
      </c>
      <c r="S108" s="101">
        <v>63888130</v>
      </c>
    </row>
    <row r="109" spans="1:19" ht="15.75" customHeight="1" thickBot="1" x14ac:dyDescent="0.25">
      <c r="A109" s="50">
        <f t="shared" si="1"/>
        <v>107</v>
      </c>
      <c r="B109" s="74">
        <v>14812484</v>
      </c>
      <c r="C109" s="67" t="s">
        <v>591</v>
      </c>
      <c r="D109" s="67" t="s">
        <v>592</v>
      </c>
      <c r="E109" s="67" t="s">
        <v>593</v>
      </c>
      <c r="F109" s="67" t="s">
        <v>594</v>
      </c>
      <c r="G109" s="66">
        <v>40684</v>
      </c>
      <c r="H109" s="64" t="s">
        <v>41</v>
      </c>
      <c r="I109" s="64" t="s">
        <v>29</v>
      </c>
      <c r="J109" s="64" t="s">
        <v>504</v>
      </c>
      <c r="K109" s="64" t="s">
        <v>519</v>
      </c>
      <c r="L109" s="64" t="s">
        <v>595</v>
      </c>
      <c r="M109" s="64" t="s">
        <v>596</v>
      </c>
      <c r="N109" s="64">
        <v>228613509</v>
      </c>
      <c r="O109" s="66">
        <v>46014</v>
      </c>
      <c r="P109" s="64" t="s">
        <v>597</v>
      </c>
      <c r="Q109" s="67"/>
      <c r="R109" s="67" t="s">
        <v>598</v>
      </c>
      <c r="S109" s="101">
        <v>77900900</v>
      </c>
    </row>
    <row r="110" spans="1:19" ht="15.75" customHeight="1" thickBot="1" x14ac:dyDescent="0.25">
      <c r="A110" s="50">
        <f t="shared" si="1"/>
        <v>108</v>
      </c>
      <c r="B110" s="74">
        <v>12907724</v>
      </c>
      <c r="C110" s="67" t="s">
        <v>599</v>
      </c>
      <c r="D110" s="67" t="s">
        <v>600</v>
      </c>
      <c r="E110" s="67" t="s">
        <v>601</v>
      </c>
      <c r="F110" s="67" t="s">
        <v>348</v>
      </c>
      <c r="G110" s="66">
        <v>40584</v>
      </c>
      <c r="H110" s="64" t="s">
        <v>41</v>
      </c>
      <c r="I110" s="64" t="s">
        <v>29</v>
      </c>
      <c r="J110" s="64" t="s">
        <v>504</v>
      </c>
      <c r="K110" s="64" t="s">
        <v>519</v>
      </c>
      <c r="L110" s="64" t="s">
        <v>602</v>
      </c>
      <c r="M110" s="64" t="s">
        <v>596</v>
      </c>
      <c r="N110" s="64">
        <v>472786933</v>
      </c>
      <c r="O110" s="66">
        <v>46014</v>
      </c>
      <c r="P110" s="64" t="s">
        <v>603</v>
      </c>
      <c r="Q110" s="67"/>
      <c r="R110" s="67" t="s">
        <v>604</v>
      </c>
      <c r="S110" s="101">
        <v>77906610</v>
      </c>
    </row>
    <row r="111" spans="1:19" ht="15.75" customHeight="1" thickBot="1" x14ac:dyDescent="0.25">
      <c r="A111" s="50">
        <f t="shared" si="1"/>
        <v>109</v>
      </c>
      <c r="B111" s="58">
        <v>14092966</v>
      </c>
      <c r="C111" s="59" t="s">
        <v>605</v>
      </c>
      <c r="D111" s="62"/>
      <c r="E111" s="59" t="s">
        <v>606</v>
      </c>
      <c r="F111" s="59" t="s">
        <v>607</v>
      </c>
      <c r="G111" s="61">
        <v>41690</v>
      </c>
      <c r="H111" s="59" t="s">
        <v>41</v>
      </c>
      <c r="I111" s="59" t="s">
        <v>29</v>
      </c>
      <c r="J111" s="121" t="s">
        <v>608</v>
      </c>
      <c r="K111" s="59" t="s">
        <v>71</v>
      </c>
      <c r="L111" s="59" t="s">
        <v>42</v>
      </c>
      <c r="M111" s="59" t="s">
        <v>609</v>
      </c>
      <c r="N111" s="59">
        <v>1.42625040438261E+19</v>
      </c>
      <c r="O111" s="61">
        <v>45751</v>
      </c>
      <c r="P111" s="59">
        <v>120</v>
      </c>
      <c r="Q111" s="62"/>
      <c r="R111" s="62" t="s">
        <v>418</v>
      </c>
      <c r="S111" s="99">
        <v>70786022</v>
      </c>
    </row>
    <row r="112" spans="1:19" ht="15.75" customHeight="1" thickBot="1" x14ac:dyDescent="0.25">
      <c r="A112" s="50">
        <f t="shared" si="1"/>
        <v>110</v>
      </c>
      <c r="B112" s="63">
        <v>13162801</v>
      </c>
      <c r="C112" s="64" t="s">
        <v>24</v>
      </c>
      <c r="D112" s="64" t="s">
        <v>610</v>
      </c>
      <c r="E112" s="64" t="s">
        <v>282</v>
      </c>
      <c r="F112" s="64" t="s">
        <v>611</v>
      </c>
      <c r="G112" s="66">
        <v>41534</v>
      </c>
      <c r="H112" s="64" t="s">
        <v>28</v>
      </c>
      <c r="I112" s="64" t="s">
        <v>29</v>
      </c>
      <c r="J112" s="122" t="s">
        <v>608</v>
      </c>
      <c r="K112" s="64" t="s">
        <v>49</v>
      </c>
      <c r="L112" s="64" t="s">
        <v>42</v>
      </c>
      <c r="M112" s="64" t="s">
        <v>609</v>
      </c>
      <c r="N112" s="64">
        <v>725040500007987</v>
      </c>
      <c r="O112" s="66">
        <v>45752</v>
      </c>
      <c r="P112" s="64" t="s">
        <v>612</v>
      </c>
      <c r="Q112" s="67"/>
      <c r="R112" s="67" t="s">
        <v>613</v>
      </c>
      <c r="S112" s="101">
        <v>72794194</v>
      </c>
    </row>
    <row r="113" spans="1:19" ht="15.75" customHeight="1" thickBot="1" x14ac:dyDescent="0.25">
      <c r="A113" s="50">
        <f t="shared" si="1"/>
        <v>111</v>
      </c>
      <c r="B113" s="63">
        <v>13162869</v>
      </c>
      <c r="C113" s="64" t="s">
        <v>614</v>
      </c>
      <c r="D113" s="64" t="s">
        <v>615</v>
      </c>
      <c r="E113" s="64" t="s">
        <v>282</v>
      </c>
      <c r="F113" s="64" t="s">
        <v>611</v>
      </c>
      <c r="G113" s="66">
        <v>41169</v>
      </c>
      <c r="H113" s="64" t="s">
        <v>41</v>
      </c>
      <c r="I113" s="64" t="s">
        <v>29</v>
      </c>
      <c r="J113" s="122" t="s">
        <v>608</v>
      </c>
      <c r="K113" s="64" t="s">
        <v>31</v>
      </c>
      <c r="L113" s="64" t="s">
        <v>510</v>
      </c>
      <c r="M113" s="64" t="s">
        <v>616</v>
      </c>
      <c r="N113" s="64">
        <v>725040500007987</v>
      </c>
      <c r="O113" s="66">
        <v>45752</v>
      </c>
      <c r="P113" s="64" t="s">
        <v>612</v>
      </c>
      <c r="Q113" s="67"/>
      <c r="R113" s="67" t="s">
        <v>613</v>
      </c>
      <c r="S113" s="101">
        <v>72794194</v>
      </c>
    </row>
    <row r="114" spans="1:19" ht="15.75" customHeight="1" thickBot="1" x14ac:dyDescent="0.25">
      <c r="A114" s="50">
        <f t="shared" si="1"/>
        <v>112</v>
      </c>
      <c r="B114" s="63">
        <v>13162802</v>
      </c>
      <c r="C114" s="64" t="s">
        <v>617</v>
      </c>
      <c r="D114" s="64" t="s">
        <v>382</v>
      </c>
      <c r="E114" s="64" t="s">
        <v>282</v>
      </c>
      <c r="F114" s="64" t="s">
        <v>611</v>
      </c>
      <c r="G114" s="66">
        <v>41169</v>
      </c>
      <c r="H114" s="64" t="s">
        <v>41</v>
      </c>
      <c r="I114" s="64" t="s">
        <v>29</v>
      </c>
      <c r="J114" s="122" t="s">
        <v>608</v>
      </c>
      <c r="K114" s="64" t="s">
        <v>31</v>
      </c>
      <c r="L114" s="64" t="s">
        <v>510</v>
      </c>
      <c r="M114" s="64" t="s">
        <v>616</v>
      </c>
      <c r="N114" s="64">
        <v>725040500007987</v>
      </c>
      <c r="O114" s="66">
        <v>45752</v>
      </c>
      <c r="P114" s="64" t="s">
        <v>612</v>
      </c>
      <c r="Q114" s="67"/>
      <c r="R114" s="67" t="s">
        <v>613</v>
      </c>
      <c r="S114" s="101">
        <v>72794194</v>
      </c>
    </row>
    <row r="115" spans="1:19" ht="15.75" customHeight="1" thickBot="1" x14ac:dyDescent="0.25">
      <c r="A115" s="50">
        <f t="shared" si="1"/>
        <v>113</v>
      </c>
      <c r="B115" s="63">
        <v>14760342</v>
      </c>
      <c r="C115" s="64" t="s">
        <v>618</v>
      </c>
      <c r="D115" s="64" t="s">
        <v>619</v>
      </c>
      <c r="E115" s="64" t="s">
        <v>393</v>
      </c>
      <c r="F115" s="64" t="s">
        <v>620</v>
      </c>
      <c r="G115" s="66">
        <v>41467</v>
      </c>
      <c r="H115" s="64" t="s">
        <v>41</v>
      </c>
      <c r="I115" s="64" t="s">
        <v>29</v>
      </c>
      <c r="J115" s="122" t="s">
        <v>608</v>
      </c>
      <c r="K115" s="64" t="s">
        <v>49</v>
      </c>
      <c r="L115" s="64" t="s">
        <v>621</v>
      </c>
      <c r="M115" s="64" t="s">
        <v>622</v>
      </c>
      <c r="N115" s="64">
        <v>205713101</v>
      </c>
      <c r="O115" s="66">
        <v>45786</v>
      </c>
      <c r="P115" s="64">
        <v>120</v>
      </c>
      <c r="Q115" s="67"/>
      <c r="R115" s="67" t="s">
        <v>418</v>
      </c>
      <c r="S115" s="101">
        <v>79718786</v>
      </c>
    </row>
    <row r="116" spans="1:19" ht="15.75" customHeight="1" thickBot="1" x14ac:dyDescent="0.25">
      <c r="A116" s="50">
        <f t="shared" si="1"/>
        <v>114</v>
      </c>
      <c r="B116" s="63">
        <v>13841070</v>
      </c>
      <c r="C116" s="64" t="s">
        <v>623</v>
      </c>
      <c r="D116" s="67"/>
      <c r="E116" s="64" t="s">
        <v>624</v>
      </c>
      <c r="F116" s="64" t="s">
        <v>625</v>
      </c>
      <c r="G116" s="66">
        <v>41527</v>
      </c>
      <c r="H116" s="64" t="s">
        <v>28</v>
      </c>
      <c r="I116" s="64" t="s">
        <v>29</v>
      </c>
      <c r="J116" s="122" t="s">
        <v>608</v>
      </c>
      <c r="K116" s="64" t="s">
        <v>49</v>
      </c>
      <c r="L116" s="64" t="s">
        <v>102</v>
      </c>
      <c r="M116" s="64" t="s">
        <v>616</v>
      </c>
      <c r="N116" s="64">
        <v>725040900091917</v>
      </c>
      <c r="O116" s="66">
        <v>45756</v>
      </c>
      <c r="P116" s="64">
        <v>120</v>
      </c>
      <c r="Q116" s="67"/>
      <c r="R116" s="67" t="s">
        <v>626</v>
      </c>
      <c r="S116" s="101">
        <v>72216868</v>
      </c>
    </row>
    <row r="117" spans="1:19" ht="15.75" customHeight="1" thickBot="1" x14ac:dyDescent="0.25">
      <c r="A117" s="50">
        <f t="shared" si="1"/>
        <v>115</v>
      </c>
      <c r="B117" s="63">
        <v>13227887</v>
      </c>
      <c r="C117" s="64" t="s">
        <v>627</v>
      </c>
      <c r="D117" s="64" t="s">
        <v>237</v>
      </c>
      <c r="E117" s="64" t="s">
        <v>628</v>
      </c>
      <c r="F117" s="64" t="s">
        <v>629</v>
      </c>
      <c r="G117" s="66">
        <v>40730</v>
      </c>
      <c r="H117" s="64" t="s">
        <v>28</v>
      </c>
      <c r="I117" s="64" t="s">
        <v>29</v>
      </c>
      <c r="J117" s="122" t="s">
        <v>608</v>
      </c>
      <c r="K117" s="64" t="s">
        <v>519</v>
      </c>
      <c r="L117" s="64" t="s">
        <v>630</v>
      </c>
      <c r="M117" s="64" t="s">
        <v>631</v>
      </c>
      <c r="N117" s="64" t="s">
        <v>632</v>
      </c>
      <c r="O117" s="66">
        <v>45757</v>
      </c>
      <c r="P117" s="64">
        <v>120</v>
      </c>
      <c r="Q117" s="67"/>
      <c r="R117" s="67" t="s">
        <v>633</v>
      </c>
      <c r="S117" s="101">
        <v>60706169</v>
      </c>
    </row>
    <row r="118" spans="1:19" ht="15.75" customHeight="1" thickBot="1" x14ac:dyDescent="0.25">
      <c r="A118" s="50">
        <f t="shared" si="1"/>
        <v>116</v>
      </c>
      <c r="B118" s="63">
        <v>14265911</v>
      </c>
      <c r="C118" s="64" t="s">
        <v>634</v>
      </c>
      <c r="D118" s="64" t="s">
        <v>635</v>
      </c>
      <c r="E118" s="64" t="s">
        <v>446</v>
      </c>
      <c r="F118" s="64" t="s">
        <v>329</v>
      </c>
      <c r="G118" s="66">
        <v>41348</v>
      </c>
      <c r="H118" s="64" t="s">
        <v>41</v>
      </c>
      <c r="I118" s="64" t="s">
        <v>29</v>
      </c>
      <c r="J118" s="122" t="s">
        <v>608</v>
      </c>
      <c r="K118" s="64" t="s">
        <v>49</v>
      </c>
      <c r="L118" s="64" t="s">
        <v>636</v>
      </c>
      <c r="M118" s="64" t="s">
        <v>637</v>
      </c>
      <c r="N118" s="64" t="s">
        <v>638</v>
      </c>
      <c r="O118" s="66">
        <v>45766</v>
      </c>
      <c r="P118" s="64">
        <v>120</v>
      </c>
      <c r="Q118" s="67"/>
      <c r="R118" s="67" t="s">
        <v>639</v>
      </c>
      <c r="S118" s="101">
        <v>72515911</v>
      </c>
    </row>
    <row r="119" spans="1:19" ht="15.75" customHeight="1" thickBot="1" x14ac:dyDescent="0.25">
      <c r="A119" s="50">
        <f t="shared" si="1"/>
        <v>117</v>
      </c>
      <c r="B119" s="63">
        <v>13002250</v>
      </c>
      <c r="C119" s="64" t="s">
        <v>640</v>
      </c>
      <c r="D119" s="64" t="s">
        <v>264</v>
      </c>
      <c r="E119" s="64" t="s">
        <v>416</v>
      </c>
      <c r="F119" s="64" t="s">
        <v>641</v>
      </c>
      <c r="G119" s="66">
        <v>41277</v>
      </c>
      <c r="H119" s="64" t="s">
        <v>41</v>
      </c>
      <c r="I119" s="64" t="s">
        <v>29</v>
      </c>
      <c r="J119" s="64" t="s">
        <v>608</v>
      </c>
      <c r="K119" s="64" t="s">
        <v>49</v>
      </c>
      <c r="L119" s="64" t="s">
        <v>95</v>
      </c>
      <c r="M119" s="64" t="s">
        <v>616</v>
      </c>
      <c r="N119" s="64" t="s">
        <v>642</v>
      </c>
      <c r="O119" s="66">
        <v>45766</v>
      </c>
      <c r="P119" s="64">
        <v>120</v>
      </c>
      <c r="Q119" s="67"/>
      <c r="R119" s="67" t="s">
        <v>418</v>
      </c>
      <c r="S119" s="101">
        <v>70775907</v>
      </c>
    </row>
    <row r="120" spans="1:19" ht="15.75" customHeight="1" thickBot="1" x14ac:dyDescent="0.25">
      <c r="A120" s="50">
        <f t="shared" si="1"/>
        <v>118</v>
      </c>
      <c r="B120" s="63">
        <v>13589884</v>
      </c>
      <c r="C120" s="64" t="s">
        <v>188</v>
      </c>
      <c r="D120" s="64" t="s">
        <v>643</v>
      </c>
      <c r="E120" s="64" t="s">
        <v>405</v>
      </c>
      <c r="F120" s="64" t="s">
        <v>406</v>
      </c>
      <c r="G120" s="66">
        <v>41663</v>
      </c>
      <c r="H120" s="64" t="s">
        <v>41</v>
      </c>
      <c r="I120" s="64" t="s">
        <v>29</v>
      </c>
      <c r="J120" s="64" t="s">
        <v>608</v>
      </c>
      <c r="K120" s="64" t="s">
        <v>71</v>
      </c>
      <c r="L120" s="64" t="s">
        <v>58</v>
      </c>
      <c r="M120" s="64" t="s">
        <v>73</v>
      </c>
      <c r="N120" s="64">
        <v>1.42625041912512E+19</v>
      </c>
      <c r="O120" s="66">
        <v>45766</v>
      </c>
      <c r="P120" s="64">
        <v>120</v>
      </c>
      <c r="Q120" s="67"/>
      <c r="R120" s="67" t="s">
        <v>644</v>
      </c>
      <c r="S120" s="101">
        <v>71461651</v>
      </c>
    </row>
    <row r="121" spans="1:19" ht="15.75" customHeight="1" thickBot="1" x14ac:dyDescent="0.25">
      <c r="A121" s="50">
        <f t="shared" si="1"/>
        <v>119</v>
      </c>
      <c r="B121" s="63">
        <v>13897014</v>
      </c>
      <c r="C121" s="64" t="s">
        <v>645</v>
      </c>
      <c r="D121" s="67"/>
      <c r="E121" s="64" t="s">
        <v>365</v>
      </c>
      <c r="F121" s="64" t="s">
        <v>646</v>
      </c>
      <c r="G121" s="66">
        <v>41702</v>
      </c>
      <c r="H121" s="64" t="s">
        <v>28</v>
      </c>
      <c r="I121" s="64" t="s">
        <v>29</v>
      </c>
      <c r="J121" s="64" t="s">
        <v>608</v>
      </c>
      <c r="K121" s="64" t="s">
        <v>71</v>
      </c>
      <c r="L121" s="64" t="s">
        <v>647</v>
      </c>
      <c r="M121" s="64" t="s">
        <v>319</v>
      </c>
      <c r="N121" s="64">
        <v>614132688</v>
      </c>
      <c r="O121" s="66">
        <v>45772</v>
      </c>
      <c r="P121" s="64">
        <v>120</v>
      </c>
      <c r="Q121" s="67"/>
      <c r="R121" s="67" t="s">
        <v>648</v>
      </c>
      <c r="S121" s="101">
        <v>76439771</v>
      </c>
    </row>
    <row r="122" spans="1:19" ht="15.75" customHeight="1" thickBot="1" x14ac:dyDescent="0.25">
      <c r="A122" s="50">
        <f t="shared" si="1"/>
        <v>120</v>
      </c>
      <c r="B122" s="63">
        <v>14330983</v>
      </c>
      <c r="C122" s="64" t="s">
        <v>222</v>
      </c>
      <c r="D122" s="67"/>
      <c r="E122" s="64" t="s">
        <v>649</v>
      </c>
      <c r="F122" s="64" t="s">
        <v>650</v>
      </c>
      <c r="G122" s="66">
        <v>41702</v>
      </c>
      <c r="H122" s="64" t="s">
        <v>28</v>
      </c>
      <c r="I122" s="64" t="s">
        <v>29</v>
      </c>
      <c r="J122" s="122" t="s">
        <v>608</v>
      </c>
      <c r="K122" s="64" t="s">
        <v>71</v>
      </c>
      <c r="L122" s="64" t="s">
        <v>651</v>
      </c>
      <c r="M122" s="64" t="s">
        <v>609</v>
      </c>
      <c r="N122" s="64">
        <v>1.4262504280433799E+19</v>
      </c>
      <c r="O122" s="66">
        <v>45775</v>
      </c>
      <c r="P122" s="64">
        <v>120</v>
      </c>
      <c r="Q122" s="67"/>
      <c r="R122" s="67" t="s">
        <v>652</v>
      </c>
      <c r="S122" s="101">
        <v>78313018</v>
      </c>
    </row>
    <row r="123" spans="1:19" ht="15.75" customHeight="1" thickBot="1" x14ac:dyDescent="0.25">
      <c r="A123" s="50">
        <f t="shared" ref="A123:A171" si="2">IF(C122="","",A122+1)</f>
        <v>121</v>
      </c>
      <c r="B123" s="63">
        <v>16589694</v>
      </c>
      <c r="C123" s="64" t="s">
        <v>653</v>
      </c>
      <c r="D123" s="67"/>
      <c r="E123" s="64" t="s">
        <v>654</v>
      </c>
      <c r="F123" s="64" t="s">
        <v>655</v>
      </c>
      <c r="G123" s="66">
        <v>40785</v>
      </c>
      <c r="H123" s="64" t="s">
        <v>28</v>
      </c>
      <c r="I123" s="64" t="s">
        <v>29</v>
      </c>
      <c r="J123" s="64" t="s">
        <v>608</v>
      </c>
      <c r="K123" s="64" t="s">
        <v>31</v>
      </c>
      <c r="L123" s="64" t="s">
        <v>656</v>
      </c>
      <c r="M123" s="64" t="s">
        <v>657</v>
      </c>
      <c r="N123" s="64">
        <v>6887734675</v>
      </c>
      <c r="O123" s="66">
        <v>45774</v>
      </c>
      <c r="P123" s="64">
        <v>120</v>
      </c>
      <c r="Q123" s="120"/>
      <c r="R123" s="67" t="s">
        <v>658</v>
      </c>
      <c r="S123" s="101">
        <v>60376613</v>
      </c>
    </row>
    <row r="124" spans="1:19" ht="15.75" customHeight="1" thickBot="1" x14ac:dyDescent="0.25">
      <c r="A124" s="50">
        <f t="shared" si="2"/>
        <v>122</v>
      </c>
      <c r="B124" s="63">
        <v>13132944</v>
      </c>
      <c r="C124" s="64" t="s">
        <v>659</v>
      </c>
      <c r="D124" s="64" t="s">
        <v>210</v>
      </c>
      <c r="E124" s="64" t="s">
        <v>660</v>
      </c>
      <c r="F124" s="64" t="s">
        <v>661</v>
      </c>
      <c r="G124" s="66">
        <v>41183</v>
      </c>
      <c r="H124" s="64" t="s">
        <v>41</v>
      </c>
      <c r="I124" s="64" t="s">
        <v>29</v>
      </c>
      <c r="J124" s="64" t="s">
        <v>608</v>
      </c>
      <c r="K124" s="64" t="s">
        <v>31</v>
      </c>
      <c r="L124" s="64" t="s">
        <v>42</v>
      </c>
      <c r="M124" s="64" t="s">
        <v>616</v>
      </c>
      <c r="N124" s="64" t="s">
        <v>662</v>
      </c>
      <c r="O124" s="66">
        <v>45775</v>
      </c>
      <c r="P124" s="64">
        <v>120</v>
      </c>
      <c r="Q124" s="67"/>
      <c r="R124" s="67" t="s">
        <v>644</v>
      </c>
      <c r="S124" s="101">
        <v>77927403</v>
      </c>
    </row>
    <row r="125" spans="1:19" ht="15.75" customHeight="1" thickBot="1" x14ac:dyDescent="0.25">
      <c r="A125" s="50">
        <f t="shared" si="2"/>
        <v>123</v>
      </c>
      <c r="B125" s="63">
        <v>13394655</v>
      </c>
      <c r="C125" s="64" t="s">
        <v>62</v>
      </c>
      <c r="D125" s="64" t="s">
        <v>663</v>
      </c>
      <c r="E125" s="64" t="s">
        <v>664</v>
      </c>
      <c r="F125" s="64" t="s">
        <v>665</v>
      </c>
      <c r="G125" s="66">
        <v>41696</v>
      </c>
      <c r="H125" s="64" t="s">
        <v>41</v>
      </c>
      <c r="I125" s="64" t="s">
        <v>29</v>
      </c>
      <c r="J125" s="64" t="s">
        <v>608</v>
      </c>
      <c r="K125" s="64" t="s">
        <v>71</v>
      </c>
      <c r="L125" s="64" t="s">
        <v>259</v>
      </c>
      <c r="M125" s="64" t="s">
        <v>319</v>
      </c>
      <c r="N125" s="64" t="s">
        <v>666</v>
      </c>
      <c r="O125" s="66">
        <v>45775</v>
      </c>
      <c r="P125" s="64">
        <v>120</v>
      </c>
      <c r="Q125" s="67"/>
      <c r="R125" s="67" t="s">
        <v>418</v>
      </c>
      <c r="S125" s="101">
        <v>74313848</v>
      </c>
    </row>
    <row r="126" spans="1:19" ht="15.75" customHeight="1" thickBot="1" x14ac:dyDescent="0.25">
      <c r="A126" s="50">
        <f t="shared" si="2"/>
        <v>124</v>
      </c>
      <c r="B126" s="105">
        <v>14193971</v>
      </c>
      <c r="C126" s="107" t="s">
        <v>667</v>
      </c>
      <c r="D126" s="107"/>
      <c r="E126" s="107" t="s">
        <v>668</v>
      </c>
      <c r="F126" s="107" t="s">
        <v>298</v>
      </c>
      <c r="G126" s="106">
        <v>40729</v>
      </c>
      <c r="H126" s="64" t="s">
        <v>28</v>
      </c>
      <c r="I126" s="64" t="s">
        <v>29</v>
      </c>
      <c r="J126" s="64" t="s">
        <v>608</v>
      </c>
      <c r="K126" s="64" t="s">
        <v>519</v>
      </c>
      <c r="L126" s="64" t="s">
        <v>669</v>
      </c>
      <c r="M126" s="64" t="s">
        <v>670</v>
      </c>
      <c r="N126" s="64">
        <v>69778307419</v>
      </c>
      <c r="O126" s="66">
        <v>45791</v>
      </c>
      <c r="P126" s="64">
        <v>130</v>
      </c>
      <c r="Q126" s="67"/>
      <c r="R126" s="67"/>
      <c r="S126" s="67"/>
    </row>
    <row r="127" spans="1:19" ht="15.75" customHeight="1" thickBot="1" x14ac:dyDescent="0.25">
      <c r="A127" s="50">
        <f t="shared" si="2"/>
        <v>125</v>
      </c>
      <c r="B127" s="74">
        <v>14862167</v>
      </c>
      <c r="C127" s="64" t="s">
        <v>671</v>
      </c>
      <c r="D127" s="67" t="s">
        <v>556</v>
      </c>
      <c r="E127" s="64" t="s">
        <v>672</v>
      </c>
      <c r="F127" s="64" t="s">
        <v>673</v>
      </c>
      <c r="G127" s="66">
        <v>41325</v>
      </c>
      <c r="H127" s="64" t="s">
        <v>41</v>
      </c>
      <c r="I127" s="64" t="s">
        <v>29</v>
      </c>
      <c r="J127" s="64" t="s">
        <v>608</v>
      </c>
      <c r="K127" s="64" t="s">
        <v>49</v>
      </c>
      <c r="L127" s="64" t="s">
        <v>510</v>
      </c>
      <c r="M127" s="64" t="s">
        <v>616</v>
      </c>
      <c r="N127" s="64">
        <v>1.40520252951406E+20</v>
      </c>
      <c r="O127" s="66">
        <v>45791</v>
      </c>
      <c r="P127" s="64">
        <v>130</v>
      </c>
      <c r="Q127" s="67"/>
      <c r="R127" s="67"/>
      <c r="S127" s="67"/>
    </row>
    <row r="128" spans="1:19" ht="15.75" customHeight="1" thickBot="1" x14ac:dyDescent="0.25">
      <c r="A128" s="50">
        <f t="shared" si="2"/>
        <v>126</v>
      </c>
      <c r="B128" s="74">
        <v>14325841</v>
      </c>
      <c r="C128" s="64" t="s">
        <v>674</v>
      </c>
      <c r="D128" s="64" t="s">
        <v>675</v>
      </c>
      <c r="E128" s="64" t="s">
        <v>676</v>
      </c>
      <c r="F128" s="64" t="s">
        <v>677</v>
      </c>
      <c r="G128" s="66">
        <v>41796</v>
      </c>
      <c r="H128" s="64" t="s">
        <v>28</v>
      </c>
      <c r="I128" s="64" t="s">
        <v>29</v>
      </c>
      <c r="J128" s="64" t="s">
        <v>608</v>
      </c>
      <c r="K128" s="64" t="s">
        <v>71</v>
      </c>
      <c r="L128" s="64" t="s">
        <v>212</v>
      </c>
      <c r="M128" s="64" t="s">
        <v>319</v>
      </c>
      <c r="N128" s="64" t="s">
        <v>678</v>
      </c>
      <c r="O128" s="66">
        <v>45799</v>
      </c>
      <c r="P128" s="64">
        <v>130</v>
      </c>
      <c r="Q128" s="67"/>
      <c r="R128" s="67"/>
      <c r="S128" s="67"/>
    </row>
    <row r="129" spans="1:19" ht="15.75" customHeight="1" thickBot="1" x14ac:dyDescent="0.25">
      <c r="A129" s="50">
        <f t="shared" si="2"/>
        <v>127</v>
      </c>
      <c r="B129" s="74">
        <v>15029212</v>
      </c>
      <c r="C129" s="67" t="s">
        <v>679</v>
      </c>
      <c r="D129" s="67" t="s">
        <v>680</v>
      </c>
      <c r="E129" s="67" t="s">
        <v>249</v>
      </c>
      <c r="F129" s="67" t="s">
        <v>27</v>
      </c>
      <c r="G129" s="66">
        <v>41128</v>
      </c>
      <c r="H129" s="64" t="s">
        <v>41</v>
      </c>
      <c r="I129" s="64" t="s">
        <v>29</v>
      </c>
      <c r="J129" s="64" t="s">
        <v>608</v>
      </c>
      <c r="K129" s="64" t="s">
        <v>31</v>
      </c>
      <c r="L129" s="64" t="s">
        <v>681</v>
      </c>
      <c r="M129" s="64" t="s">
        <v>616</v>
      </c>
      <c r="N129" s="64">
        <v>1.4262507107458001E+19</v>
      </c>
      <c r="O129" s="66">
        <v>45848</v>
      </c>
      <c r="P129" s="64">
        <v>130</v>
      </c>
      <c r="Q129" s="67"/>
      <c r="R129" s="67"/>
      <c r="S129" s="67"/>
    </row>
    <row r="130" spans="1:19" ht="15.75" customHeight="1" thickBot="1" x14ac:dyDescent="0.25">
      <c r="A130" s="50">
        <f t="shared" si="2"/>
        <v>128</v>
      </c>
      <c r="B130" s="74">
        <v>12714542</v>
      </c>
      <c r="C130" s="67" t="s">
        <v>556</v>
      </c>
      <c r="D130" s="67"/>
      <c r="E130" s="67" t="s">
        <v>682</v>
      </c>
      <c r="F130" s="67" t="s">
        <v>683</v>
      </c>
      <c r="G130" s="66">
        <v>41699</v>
      </c>
      <c r="H130" s="64" t="s">
        <v>41</v>
      </c>
      <c r="I130" s="64" t="s">
        <v>29</v>
      </c>
      <c r="J130" s="64" t="s">
        <v>608</v>
      </c>
      <c r="K130" s="64" t="s">
        <v>71</v>
      </c>
      <c r="L130" s="64" t="s">
        <v>432</v>
      </c>
      <c r="M130" s="64" t="s">
        <v>609</v>
      </c>
      <c r="N130" s="101">
        <v>3091158962</v>
      </c>
      <c r="O130" s="66">
        <v>45901</v>
      </c>
      <c r="P130" s="64">
        <v>130</v>
      </c>
      <c r="Q130" s="67"/>
      <c r="R130" s="67" t="s">
        <v>684</v>
      </c>
      <c r="S130" s="101">
        <v>72272203</v>
      </c>
    </row>
    <row r="131" spans="1:19" ht="15.75" customHeight="1" thickBot="1" x14ac:dyDescent="0.25">
      <c r="A131" s="50">
        <f t="shared" si="2"/>
        <v>129</v>
      </c>
      <c r="B131" s="74">
        <v>12714543</v>
      </c>
      <c r="C131" s="67" t="s">
        <v>164</v>
      </c>
      <c r="D131" s="67"/>
      <c r="E131" s="67" t="s">
        <v>682</v>
      </c>
      <c r="F131" s="67" t="s">
        <v>683</v>
      </c>
      <c r="G131" s="66">
        <v>41699</v>
      </c>
      <c r="H131" s="64" t="s">
        <v>28</v>
      </c>
      <c r="I131" s="64" t="s">
        <v>29</v>
      </c>
      <c r="J131" s="64" t="s">
        <v>608</v>
      </c>
      <c r="K131" s="64" t="s">
        <v>71</v>
      </c>
      <c r="L131" s="64" t="s">
        <v>577</v>
      </c>
      <c r="M131" s="64" t="s">
        <v>609</v>
      </c>
      <c r="N131" s="101">
        <v>3091160362</v>
      </c>
      <c r="O131" s="66">
        <v>45901</v>
      </c>
      <c r="P131" s="64">
        <v>130</v>
      </c>
      <c r="Q131" s="67"/>
      <c r="R131" s="67" t="s">
        <v>684</v>
      </c>
      <c r="S131" s="101">
        <v>72272203</v>
      </c>
    </row>
    <row r="132" spans="1:19" ht="15.75" customHeight="1" thickBot="1" x14ac:dyDescent="0.25">
      <c r="A132" s="50">
        <f t="shared" si="2"/>
        <v>130</v>
      </c>
      <c r="B132" s="74">
        <v>13033270</v>
      </c>
      <c r="C132" s="67" t="s">
        <v>685</v>
      </c>
      <c r="D132" s="67" t="s">
        <v>686</v>
      </c>
      <c r="E132" s="67" t="s">
        <v>687</v>
      </c>
      <c r="F132" s="67" t="s">
        <v>384</v>
      </c>
      <c r="G132" s="66">
        <v>41039</v>
      </c>
      <c r="H132" s="64" t="s">
        <v>28</v>
      </c>
      <c r="I132" s="64" t="s">
        <v>29</v>
      </c>
      <c r="J132" s="64" t="s">
        <v>608</v>
      </c>
      <c r="K132" s="64" t="s">
        <v>31</v>
      </c>
      <c r="L132" s="67"/>
      <c r="M132" s="67"/>
      <c r="N132" s="64">
        <v>200777752</v>
      </c>
      <c r="O132" s="66">
        <v>45955</v>
      </c>
      <c r="P132" s="64">
        <v>135</v>
      </c>
      <c r="Q132" s="67"/>
      <c r="R132" s="67"/>
      <c r="S132" s="67"/>
    </row>
    <row r="133" spans="1:19" ht="15.75" customHeight="1" thickBot="1" x14ac:dyDescent="0.25">
      <c r="A133" s="50">
        <f t="shared" si="2"/>
        <v>131</v>
      </c>
      <c r="B133" s="74">
        <v>13045345</v>
      </c>
      <c r="C133" s="67" t="s">
        <v>688</v>
      </c>
      <c r="D133" s="67" t="s">
        <v>485</v>
      </c>
      <c r="E133" s="67" t="s">
        <v>518</v>
      </c>
      <c r="F133" s="67" t="s">
        <v>689</v>
      </c>
      <c r="G133" s="66">
        <v>41338</v>
      </c>
      <c r="H133" s="64" t="s">
        <v>41</v>
      </c>
      <c r="I133" s="64" t="s">
        <v>29</v>
      </c>
      <c r="J133" s="64" t="s">
        <v>608</v>
      </c>
      <c r="K133" s="64" t="s">
        <v>49</v>
      </c>
      <c r="L133" s="64" t="s">
        <v>42</v>
      </c>
      <c r="M133" s="64" t="s">
        <v>690</v>
      </c>
      <c r="N133" s="64">
        <v>233955687</v>
      </c>
      <c r="O133" s="66">
        <v>46026</v>
      </c>
      <c r="P133" s="64">
        <v>135</v>
      </c>
      <c r="Q133" s="67"/>
      <c r="R133" s="67"/>
      <c r="S133" s="67"/>
    </row>
    <row r="134" spans="1:19" ht="15.75" customHeight="1" thickBot="1" x14ac:dyDescent="0.25">
      <c r="A134" s="50">
        <f t="shared" si="2"/>
        <v>132</v>
      </c>
      <c r="B134" s="74">
        <v>13620765</v>
      </c>
      <c r="C134" s="67" t="s">
        <v>691</v>
      </c>
      <c r="D134" s="67" t="s">
        <v>38</v>
      </c>
      <c r="E134" s="67" t="s">
        <v>518</v>
      </c>
      <c r="F134" s="67" t="s">
        <v>689</v>
      </c>
      <c r="G134" s="66">
        <v>41697</v>
      </c>
      <c r="H134" s="64" t="s">
        <v>41</v>
      </c>
      <c r="I134" s="64" t="s">
        <v>29</v>
      </c>
      <c r="J134" s="64" t="s">
        <v>608</v>
      </c>
      <c r="K134" s="64" t="s">
        <v>71</v>
      </c>
      <c r="L134" s="64" t="s">
        <v>692</v>
      </c>
      <c r="M134" s="64" t="s">
        <v>73</v>
      </c>
      <c r="N134" s="64" t="s">
        <v>494</v>
      </c>
      <c r="O134" s="67"/>
      <c r="P134" s="67"/>
      <c r="Q134" s="67"/>
      <c r="R134" s="67"/>
      <c r="S134" s="67"/>
    </row>
    <row r="135" spans="1:19" ht="15.75" customHeight="1" thickBot="1" x14ac:dyDescent="0.25">
      <c r="A135" s="50">
        <f t="shared" si="2"/>
        <v>133</v>
      </c>
      <c r="B135" s="74">
        <v>13346114</v>
      </c>
      <c r="C135" s="67" t="s">
        <v>237</v>
      </c>
      <c r="D135" s="67" t="s">
        <v>76</v>
      </c>
      <c r="E135" s="67" t="s">
        <v>693</v>
      </c>
      <c r="F135" s="67" t="s">
        <v>694</v>
      </c>
      <c r="G135" s="66">
        <v>41192</v>
      </c>
      <c r="H135" s="64" t="s">
        <v>28</v>
      </c>
      <c r="I135" s="64" t="s">
        <v>29</v>
      </c>
      <c r="J135" s="64" t="s">
        <v>608</v>
      </c>
      <c r="K135" s="64" t="s">
        <v>31</v>
      </c>
      <c r="L135" s="64" t="s">
        <v>695</v>
      </c>
      <c r="M135" s="64" t="s">
        <v>696</v>
      </c>
      <c r="N135" s="64" t="s">
        <v>494</v>
      </c>
      <c r="O135" s="67"/>
      <c r="P135" s="67"/>
      <c r="Q135" s="101">
        <v>5</v>
      </c>
      <c r="R135" s="67"/>
      <c r="S135" s="67"/>
    </row>
    <row r="136" spans="1:19" ht="15.75" customHeight="1" thickBot="1" x14ac:dyDescent="0.25">
      <c r="A136" s="50">
        <f t="shared" si="2"/>
        <v>134</v>
      </c>
      <c r="B136" s="74">
        <v>13417385</v>
      </c>
      <c r="C136" s="67" t="s">
        <v>697</v>
      </c>
      <c r="D136" s="67" t="s">
        <v>698</v>
      </c>
      <c r="E136" s="67" t="s">
        <v>157</v>
      </c>
      <c r="F136" s="67" t="s">
        <v>421</v>
      </c>
      <c r="G136" s="66">
        <v>41412</v>
      </c>
      <c r="H136" s="64" t="s">
        <v>41</v>
      </c>
      <c r="I136" s="64" t="s">
        <v>29</v>
      </c>
      <c r="J136" s="64" t="s">
        <v>608</v>
      </c>
      <c r="K136" s="64" t="s">
        <v>49</v>
      </c>
      <c r="L136" s="64" t="s">
        <v>699</v>
      </c>
      <c r="M136" s="64" t="s">
        <v>690</v>
      </c>
      <c r="N136" s="64">
        <v>171462062242</v>
      </c>
      <c r="O136" s="66">
        <v>46013</v>
      </c>
      <c r="P136" s="64">
        <v>135</v>
      </c>
      <c r="Q136" s="101">
        <v>5</v>
      </c>
      <c r="R136" s="67"/>
      <c r="S136" s="67"/>
    </row>
    <row r="137" spans="1:19" ht="15.75" customHeight="1" thickBot="1" x14ac:dyDescent="0.25">
      <c r="A137" s="50">
        <f t="shared" si="2"/>
        <v>135</v>
      </c>
      <c r="B137" s="58">
        <v>12716645</v>
      </c>
      <c r="C137" s="59" t="s">
        <v>459</v>
      </c>
      <c r="D137" s="59" t="s">
        <v>526</v>
      </c>
      <c r="E137" s="59" t="s">
        <v>700</v>
      </c>
      <c r="F137" s="59" t="s">
        <v>650</v>
      </c>
      <c r="G137" s="60">
        <v>39878</v>
      </c>
      <c r="H137" s="59" t="s">
        <v>28</v>
      </c>
      <c r="I137" s="59" t="s">
        <v>29</v>
      </c>
      <c r="J137" s="123" t="s">
        <v>701</v>
      </c>
      <c r="K137" s="59" t="s">
        <v>702</v>
      </c>
      <c r="L137" s="59" t="s">
        <v>438</v>
      </c>
      <c r="M137" s="59" t="s">
        <v>703</v>
      </c>
      <c r="N137" s="59" t="s">
        <v>704</v>
      </c>
      <c r="O137" s="61">
        <v>45751</v>
      </c>
      <c r="P137" s="59">
        <v>120</v>
      </c>
      <c r="Q137" s="62"/>
      <c r="R137" s="62" t="s">
        <v>705</v>
      </c>
      <c r="S137" s="99">
        <v>72734009</v>
      </c>
    </row>
    <row r="138" spans="1:19" ht="15.75" customHeight="1" thickBot="1" x14ac:dyDescent="0.25">
      <c r="A138" s="50">
        <f t="shared" si="2"/>
        <v>136</v>
      </c>
      <c r="B138" s="63">
        <v>9453663</v>
      </c>
      <c r="C138" s="64" t="s">
        <v>261</v>
      </c>
      <c r="D138" s="67"/>
      <c r="E138" s="64" t="s">
        <v>532</v>
      </c>
      <c r="F138" s="64" t="s">
        <v>312</v>
      </c>
      <c r="G138" s="65">
        <v>40312</v>
      </c>
      <c r="H138" s="64" t="s">
        <v>28</v>
      </c>
      <c r="I138" s="64" t="s">
        <v>29</v>
      </c>
      <c r="J138" s="124" t="s">
        <v>701</v>
      </c>
      <c r="K138" s="64" t="s">
        <v>706</v>
      </c>
      <c r="L138" s="64" t="s">
        <v>510</v>
      </c>
      <c r="M138" s="64" t="s">
        <v>707</v>
      </c>
      <c r="N138" s="64">
        <v>1.4262504043811299E+19</v>
      </c>
      <c r="O138" s="66">
        <v>45751</v>
      </c>
      <c r="P138" s="64">
        <v>120</v>
      </c>
      <c r="Q138" s="67"/>
      <c r="R138" s="67" t="s">
        <v>708</v>
      </c>
      <c r="S138" s="101">
        <v>76472001</v>
      </c>
    </row>
    <row r="139" spans="1:19" ht="15.75" customHeight="1" thickBot="1" x14ac:dyDescent="0.25">
      <c r="A139" s="50">
        <f t="shared" si="2"/>
        <v>137</v>
      </c>
      <c r="B139" s="63">
        <v>13131899</v>
      </c>
      <c r="C139" s="64" t="s">
        <v>709</v>
      </c>
      <c r="D139" s="64" t="s">
        <v>68</v>
      </c>
      <c r="E139" s="64" t="s">
        <v>461</v>
      </c>
      <c r="F139" s="64" t="s">
        <v>710</v>
      </c>
      <c r="G139" s="65">
        <v>39555</v>
      </c>
      <c r="H139" s="64" t="s">
        <v>41</v>
      </c>
      <c r="I139" s="64" t="s">
        <v>29</v>
      </c>
      <c r="J139" s="124" t="s">
        <v>701</v>
      </c>
      <c r="K139" s="64" t="s">
        <v>711</v>
      </c>
      <c r="L139" s="64" t="s">
        <v>712</v>
      </c>
      <c r="M139" s="64" t="s">
        <v>713</v>
      </c>
      <c r="N139" s="64" t="s">
        <v>714</v>
      </c>
      <c r="O139" s="66">
        <v>45774</v>
      </c>
      <c r="P139" s="64" t="s">
        <v>715</v>
      </c>
      <c r="Q139" s="67"/>
      <c r="R139" s="67" t="s">
        <v>716</v>
      </c>
      <c r="S139" s="101">
        <v>70739386</v>
      </c>
    </row>
    <row r="140" spans="1:19" ht="15.75" customHeight="1" thickBot="1" x14ac:dyDescent="0.25">
      <c r="A140" s="50">
        <f t="shared" si="2"/>
        <v>138</v>
      </c>
      <c r="B140" s="63">
        <v>13131900</v>
      </c>
      <c r="C140" s="64" t="s">
        <v>717</v>
      </c>
      <c r="D140" s="64" t="s">
        <v>718</v>
      </c>
      <c r="E140" s="64" t="s">
        <v>461</v>
      </c>
      <c r="F140" s="64" t="s">
        <v>710</v>
      </c>
      <c r="G140" s="65">
        <v>40280</v>
      </c>
      <c r="H140" s="64" t="s">
        <v>28</v>
      </c>
      <c r="I140" s="64" t="s">
        <v>29</v>
      </c>
      <c r="J140" s="124" t="s">
        <v>701</v>
      </c>
      <c r="K140" s="64" t="s">
        <v>706</v>
      </c>
      <c r="L140" s="64" t="s">
        <v>719</v>
      </c>
      <c r="M140" s="64" t="s">
        <v>707</v>
      </c>
      <c r="N140" s="64" t="s">
        <v>714</v>
      </c>
      <c r="O140" s="66">
        <v>45774</v>
      </c>
      <c r="P140" s="64" t="s">
        <v>715</v>
      </c>
      <c r="Q140" s="67"/>
      <c r="R140" s="67" t="s">
        <v>716</v>
      </c>
      <c r="S140" s="101">
        <v>70739386</v>
      </c>
    </row>
    <row r="141" spans="1:19" ht="15.75" customHeight="1" thickBot="1" x14ac:dyDescent="0.25">
      <c r="A141" s="50">
        <f t="shared" si="2"/>
        <v>139</v>
      </c>
      <c r="B141" s="63">
        <v>13875343</v>
      </c>
      <c r="C141" s="64" t="s">
        <v>536</v>
      </c>
      <c r="D141" s="64" t="s">
        <v>415</v>
      </c>
      <c r="E141" s="64" t="s">
        <v>720</v>
      </c>
      <c r="F141" s="67"/>
      <c r="G141" s="65">
        <v>39519</v>
      </c>
      <c r="H141" s="64" t="s">
        <v>41</v>
      </c>
      <c r="I141" s="64" t="s">
        <v>29</v>
      </c>
      <c r="J141" s="124" t="s">
        <v>701</v>
      </c>
      <c r="K141" s="64" t="s">
        <v>711</v>
      </c>
      <c r="L141" s="64" t="s">
        <v>721</v>
      </c>
      <c r="M141" s="64" t="s">
        <v>703</v>
      </c>
      <c r="N141" s="64" t="s">
        <v>722</v>
      </c>
      <c r="O141" s="66">
        <v>45774</v>
      </c>
      <c r="P141" s="64">
        <v>120</v>
      </c>
      <c r="Q141" s="120"/>
      <c r="R141" s="67" t="s">
        <v>723</v>
      </c>
      <c r="S141" s="101">
        <v>62707119</v>
      </c>
    </row>
    <row r="142" spans="1:19" ht="15.75" customHeight="1" thickBot="1" x14ac:dyDescent="0.25">
      <c r="A142" s="50">
        <f t="shared" si="2"/>
        <v>140</v>
      </c>
      <c r="B142" s="63">
        <v>9505886</v>
      </c>
      <c r="C142" s="64" t="s">
        <v>484</v>
      </c>
      <c r="D142" s="64" t="s">
        <v>38</v>
      </c>
      <c r="E142" s="64" t="s">
        <v>724</v>
      </c>
      <c r="F142" s="64" t="s">
        <v>39</v>
      </c>
      <c r="G142" s="122" t="s">
        <v>725</v>
      </c>
      <c r="H142" s="64" t="s">
        <v>41</v>
      </c>
      <c r="I142" s="64" t="s">
        <v>29</v>
      </c>
      <c r="J142" s="124" t="s">
        <v>701</v>
      </c>
      <c r="K142" s="64" t="s">
        <v>706</v>
      </c>
      <c r="L142" s="64" t="s">
        <v>726</v>
      </c>
      <c r="M142" s="64" t="s">
        <v>707</v>
      </c>
      <c r="N142" s="64" t="s">
        <v>727</v>
      </c>
      <c r="O142" s="66">
        <v>45761</v>
      </c>
      <c r="P142" s="64">
        <v>120</v>
      </c>
      <c r="Q142" s="67"/>
      <c r="R142" s="67" t="s">
        <v>728</v>
      </c>
      <c r="S142" s="101">
        <v>70755672</v>
      </c>
    </row>
    <row r="143" spans="1:19" ht="15.75" customHeight="1" thickBot="1" x14ac:dyDescent="0.25">
      <c r="A143" s="50">
        <f t="shared" si="2"/>
        <v>141</v>
      </c>
      <c r="B143" s="63">
        <v>13969703</v>
      </c>
      <c r="C143" s="64" t="s">
        <v>729</v>
      </c>
      <c r="D143" s="64" t="s">
        <v>730</v>
      </c>
      <c r="E143" s="64" t="s">
        <v>731</v>
      </c>
      <c r="F143" s="64" t="s">
        <v>27</v>
      </c>
      <c r="G143" s="65">
        <v>39817</v>
      </c>
      <c r="H143" s="64" t="s">
        <v>28</v>
      </c>
      <c r="I143" s="64" t="s">
        <v>29</v>
      </c>
      <c r="J143" s="124" t="s">
        <v>701</v>
      </c>
      <c r="K143" s="64" t="s">
        <v>702</v>
      </c>
      <c r="L143" s="64" t="s">
        <v>58</v>
      </c>
      <c r="M143" s="64" t="s">
        <v>703</v>
      </c>
      <c r="N143" s="64" t="s">
        <v>732</v>
      </c>
      <c r="O143" s="66">
        <v>45774</v>
      </c>
      <c r="P143" s="64">
        <v>120</v>
      </c>
      <c r="Q143" s="67"/>
      <c r="R143" s="67" t="s">
        <v>733</v>
      </c>
      <c r="S143" s="101">
        <v>76508116</v>
      </c>
    </row>
    <row r="144" spans="1:19" ht="15.75" customHeight="1" thickBot="1" x14ac:dyDescent="0.25">
      <c r="A144" s="50">
        <f t="shared" si="2"/>
        <v>142</v>
      </c>
      <c r="B144" s="63">
        <v>12747428</v>
      </c>
      <c r="C144" s="64" t="s">
        <v>296</v>
      </c>
      <c r="D144" s="67"/>
      <c r="E144" s="64" t="s">
        <v>734</v>
      </c>
      <c r="F144" s="64" t="s">
        <v>735</v>
      </c>
      <c r="G144" s="66">
        <v>39674</v>
      </c>
      <c r="H144" s="64" t="s">
        <v>28</v>
      </c>
      <c r="I144" s="64" t="s">
        <v>29</v>
      </c>
      <c r="J144" s="124" t="s">
        <v>701</v>
      </c>
      <c r="K144" s="64" t="s">
        <v>711</v>
      </c>
      <c r="L144" s="64" t="s">
        <v>736</v>
      </c>
      <c r="M144" s="64" t="s">
        <v>703</v>
      </c>
      <c r="N144" s="64" t="s">
        <v>737</v>
      </c>
      <c r="O144" s="66">
        <v>45774</v>
      </c>
      <c r="P144" s="64">
        <v>120</v>
      </c>
      <c r="Q144" s="67"/>
      <c r="R144" s="67" t="s">
        <v>738</v>
      </c>
      <c r="S144" s="101">
        <v>70784161</v>
      </c>
    </row>
    <row r="145" spans="1:20" ht="15.75" customHeight="1" thickBot="1" x14ac:dyDescent="0.25">
      <c r="A145" s="50">
        <f t="shared" si="2"/>
        <v>143</v>
      </c>
      <c r="B145" s="63">
        <v>9396204</v>
      </c>
      <c r="C145" s="64" t="s">
        <v>739</v>
      </c>
      <c r="D145" s="64" t="s">
        <v>640</v>
      </c>
      <c r="E145" s="64" t="s">
        <v>740</v>
      </c>
      <c r="F145" s="64" t="s">
        <v>741</v>
      </c>
      <c r="G145" s="66">
        <v>39989</v>
      </c>
      <c r="H145" s="64" t="s">
        <v>41</v>
      </c>
      <c r="I145" s="64" t="s">
        <v>29</v>
      </c>
      <c r="J145" s="64" t="s">
        <v>701</v>
      </c>
      <c r="K145" s="64" t="s">
        <v>702</v>
      </c>
      <c r="L145" s="64" t="s">
        <v>742</v>
      </c>
      <c r="M145" s="64" t="s">
        <v>703</v>
      </c>
      <c r="N145" s="64">
        <v>1.42625042804469E+19</v>
      </c>
      <c r="O145" s="66">
        <v>45775</v>
      </c>
      <c r="P145" s="64">
        <v>120</v>
      </c>
      <c r="Q145" s="67"/>
      <c r="R145" s="67" t="s">
        <v>743</v>
      </c>
      <c r="S145" s="101">
        <v>67681005</v>
      </c>
    </row>
    <row r="146" spans="1:20" ht="15.75" customHeight="1" thickBot="1" x14ac:dyDescent="0.25">
      <c r="A146" s="50">
        <f t="shared" si="2"/>
        <v>144</v>
      </c>
      <c r="B146" s="63">
        <v>14382234</v>
      </c>
      <c r="C146" s="64" t="s">
        <v>744</v>
      </c>
      <c r="D146" s="64" t="s">
        <v>556</v>
      </c>
      <c r="E146" s="64" t="s">
        <v>745</v>
      </c>
      <c r="F146" s="64" t="s">
        <v>486</v>
      </c>
      <c r="G146" s="66">
        <v>40256</v>
      </c>
      <c r="H146" s="64" t="s">
        <v>41</v>
      </c>
      <c r="I146" s="64" t="s">
        <v>29</v>
      </c>
      <c r="J146" s="64" t="s">
        <v>701</v>
      </c>
      <c r="K146" s="64" t="s">
        <v>706</v>
      </c>
      <c r="L146" s="64" t="s">
        <v>746</v>
      </c>
      <c r="M146" s="64" t="s">
        <v>707</v>
      </c>
      <c r="N146" s="64">
        <v>1.42625042804444E+19</v>
      </c>
      <c r="O146" s="66">
        <v>45775</v>
      </c>
      <c r="P146" s="64">
        <v>120</v>
      </c>
      <c r="Q146" s="67"/>
      <c r="R146" s="67" t="s">
        <v>747</v>
      </c>
      <c r="S146" s="101">
        <v>77943292</v>
      </c>
    </row>
    <row r="147" spans="1:20" ht="15.75" customHeight="1" thickBot="1" x14ac:dyDescent="0.25">
      <c r="A147" s="50">
        <f t="shared" si="2"/>
        <v>145</v>
      </c>
      <c r="B147" s="63">
        <v>9470594</v>
      </c>
      <c r="C147" s="64" t="s">
        <v>98</v>
      </c>
      <c r="D147" s="67"/>
      <c r="E147" s="64" t="s">
        <v>48</v>
      </c>
      <c r="F147" s="64" t="s">
        <v>48</v>
      </c>
      <c r="G147" s="66">
        <v>40372</v>
      </c>
      <c r="H147" s="64" t="s">
        <v>41</v>
      </c>
      <c r="I147" s="64" t="s">
        <v>29</v>
      </c>
      <c r="J147" s="64" t="s">
        <v>701</v>
      </c>
      <c r="K147" s="64" t="s">
        <v>706</v>
      </c>
      <c r="L147" s="64" t="s">
        <v>748</v>
      </c>
      <c r="M147" s="64" t="s">
        <v>596</v>
      </c>
      <c r="N147" s="64" t="s">
        <v>52</v>
      </c>
      <c r="O147" s="66">
        <v>45752</v>
      </c>
      <c r="P147" s="64" t="s">
        <v>715</v>
      </c>
      <c r="Q147" s="67"/>
      <c r="R147" s="67" t="s">
        <v>749</v>
      </c>
      <c r="S147" s="101">
        <v>73798361</v>
      </c>
    </row>
    <row r="148" spans="1:20" ht="15.75" customHeight="1" thickBot="1" x14ac:dyDescent="0.25">
      <c r="A148" s="50">
        <f t="shared" si="2"/>
        <v>146</v>
      </c>
      <c r="B148" s="63">
        <v>13876183</v>
      </c>
      <c r="C148" s="64" t="s">
        <v>164</v>
      </c>
      <c r="D148" s="64" t="s">
        <v>459</v>
      </c>
      <c r="E148" s="64" t="s">
        <v>157</v>
      </c>
      <c r="F148" s="64" t="s">
        <v>580</v>
      </c>
      <c r="G148" s="66">
        <v>39636</v>
      </c>
      <c r="H148" s="64" t="s">
        <v>28</v>
      </c>
      <c r="I148" s="64" t="s">
        <v>29</v>
      </c>
      <c r="J148" s="64" t="s">
        <v>701</v>
      </c>
      <c r="K148" s="64" t="s">
        <v>711</v>
      </c>
      <c r="L148" s="64" t="s">
        <v>750</v>
      </c>
      <c r="M148" s="64" t="s">
        <v>703</v>
      </c>
      <c r="N148" s="64" t="s">
        <v>751</v>
      </c>
      <c r="O148" s="66">
        <v>45775</v>
      </c>
      <c r="P148" s="64">
        <v>120</v>
      </c>
      <c r="Q148" s="67"/>
      <c r="R148" s="67" t="s">
        <v>752</v>
      </c>
      <c r="S148" s="101">
        <v>70750561</v>
      </c>
    </row>
    <row r="149" spans="1:20" ht="15.75" customHeight="1" thickBot="1" x14ac:dyDescent="0.25">
      <c r="A149" s="50">
        <f t="shared" si="2"/>
        <v>147</v>
      </c>
      <c r="B149" s="70">
        <v>12808580</v>
      </c>
      <c r="C149" s="64" t="s">
        <v>753</v>
      </c>
      <c r="D149" s="67"/>
      <c r="E149" s="64" t="s">
        <v>606</v>
      </c>
      <c r="F149" s="64" t="s">
        <v>607</v>
      </c>
      <c r="G149" s="66">
        <v>39427</v>
      </c>
      <c r="H149" s="64" t="s">
        <v>28</v>
      </c>
      <c r="I149" s="64" t="s">
        <v>29</v>
      </c>
      <c r="J149" s="64" t="s">
        <v>701</v>
      </c>
      <c r="K149" s="64" t="s">
        <v>711</v>
      </c>
      <c r="L149" s="64" t="s">
        <v>754</v>
      </c>
      <c r="M149" s="64" t="s">
        <v>755</v>
      </c>
      <c r="N149" s="64">
        <v>1.42625040438162E+19</v>
      </c>
      <c r="O149" s="66">
        <v>45751</v>
      </c>
      <c r="P149" s="64">
        <v>120</v>
      </c>
      <c r="Q149" s="67"/>
      <c r="R149" s="67" t="s">
        <v>756</v>
      </c>
      <c r="S149" s="101">
        <v>70786022</v>
      </c>
    </row>
    <row r="150" spans="1:20" ht="15.75" customHeight="1" thickBot="1" x14ac:dyDescent="0.25">
      <c r="A150" s="50">
        <f t="shared" si="2"/>
        <v>148</v>
      </c>
      <c r="B150" s="70">
        <v>9472635</v>
      </c>
      <c r="C150" s="64" t="s">
        <v>281</v>
      </c>
      <c r="D150" s="67"/>
      <c r="E150" s="64" t="s">
        <v>298</v>
      </c>
      <c r="F150" s="64" t="s">
        <v>343</v>
      </c>
      <c r="G150" s="66">
        <v>40402</v>
      </c>
      <c r="H150" s="64" t="s">
        <v>41</v>
      </c>
      <c r="I150" s="64" t="s">
        <v>29</v>
      </c>
      <c r="J150" s="64" t="s">
        <v>701</v>
      </c>
      <c r="K150" s="64" t="s">
        <v>706</v>
      </c>
      <c r="L150" s="64" t="s">
        <v>757</v>
      </c>
      <c r="M150" s="64" t="s">
        <v>596</v>
      </c>
      <c r="N150" s="64" t="s">
        <v>758</v>
      </c>
      <c r="O150" s="66">
        <v>45809</v>
      </c>
      <c r="P150" s="64">
        <v>130</v>
      </c>
      <c r="Q150" s="67"/>
      <c r="R150" s="67" t="s">
        <v>759</v>
      </c>
      <c r="S150" s="101">
        <v>77419981</v>
      </c>
    </row>
    <row r="151" spans="1:20" ht="15.75" customHeight="1" thickBot="1" x14ac:dyDescent="0.25">
      <c r="A151" s="50">
        <f t="shared" si="2"/>
        <v>149</v>
      </c>
      <c r="B151" s="70">
        <v>9472636</v>
      </c>
      <c r="C151" s="64" t="s">
        <v>155</v>
      </c>
      <c r="D151" s="64" t="s">
        <v>210</v>
      </c>
      <c r="E151" s="64" t="s">
        <v>298</v>
      </c>
      <c r="F151" s="64" t="s">
        <v>343</v>
      </c>
      <c r="G151" s="66">
        <v>39764</v>
      </c>
      <c r="H151" s="64" t="s">
        <v>41</v>
      </c>
      <c r="I151" s="64" t="s">
        <v>29</v>
      </c>
      <c r="J151" s="64" t="s">
        <v>701</v>
      </c>
      <c r="K151" s="64" t="s">
        <v>702</v>
      </c>
      <c r="L151" s="64" t="s">
        <v>757</v>
      </c>
      <c r="M151" s="64" t="s">
        <v>703</v>
      </c>
      <c r="N151" s="64" t="s">
        <v>760</v>
      </c>
      <c r="O151" s="66">
        <v>45809</v>
      </c>
      <c r="P151" s="64">
        <v>130</v>
      </c>
      <c r="Q151" s="67"/>
      <c r="R151" s="67" t="s">
        <v>759</v>
      </c>
      <c r="S151" s="101">
        <v>77419981</v>
      </c>
    </row>
    <row r="152" spans="1:20" ht="15.75" customHeight="1" thickBot="1" x14ac:dyDescent="0.25">
      <c r="A152" s="50">
        <f t="shared" si="2"/>
        <v>150</v>
      </c>
      <c r="B152" s="70">
        <v>12873152</v>
      </c>
      <c r="C152" s="64" t="s">
        <v>761</v>
      </c>
      <c r="D152" s="64" t="s">
        <v>744</v>
      </c>
      <c r="E152" s="64" t="s">
        <v>278</v>
      </c>
      <c r="F152" s="64" t="s">
        <v>282</v>
      </c>
      <c r="G152" s="66">
        <v>39621</v>
      </c>
      <c r="H152" s="64" t="s">
        <v>41</v>
      </c>
      <c r="I152" s="64" t="s">
        <v>762</v>
      </c>
      <c r="J152" s="64" t="s">
        <v>701</v>
      </c>
      <c r="K152" s="64" t="s">
        <v>711</v>
      </c>
      <c r="L152" s="64" t="s">
        <v>432</v>
      </c>
      <c r="M152" s="64" t="s">
        <v>703</v>
      </c>
      <c r="N152" s="64">
        <v>711644902</v>
      </c>
      <c r="O152" s="66">
        <v>45831</v>
      </c>
      <c r="P152" s="64">
        <v>130</v>
      </c>
      <c r="Q152" s="67"/>
      <c r="R152" s="67" t="s">
        <v>763</v>
      </c>
      <c r="S152" s="101">
        <v>72235815</v>
      </c>
    </row>
    <row r="153" spans="1:20" ht="15.75" customHeight="1" thickBot="1" x14ac:dyDescent="0.25">
      <c r="A153" s="50">
        <f t="shared" si="2"/>
        <v>151</v>
      </c>
      <c r="B153" s="70">
        <v>14419390</v>
      </c>
      <c r="C153" s="64" t="s">
        <v>764</v>
      </c>
      <c r="D153" s="64" t="s">
        <v>765</v>
      </c>
      <c r="E153" s="64" t="s">
        <v>766</v>
      </c>
      <c r="F153" s="64" t="s">
        <v>377</v>
      </c>
      <c r="G153" s="66">
        <v>40066</v>
      </c>
      <c r="H153" s="64" t="s">
        <v>28</v>
      </c>
      <c r="I153" s="64" t="s">
        <v>29</v>
      </c>
      <c r="J153" s="64" t="s">
        <v>701</v>
      </c>
      <c r="K153" s="64" t="s">
        <v>702</v>
      </c>
      <c r="L153" s="64" t="s">
        <v>767</v>
      </c>
      <c r="M153" s="64" t="s">
        <v>707</v>
      </c>
      <c r="N153" s="64" t="s">
        <v>768</v>
      </c>
      <c r="O153" s="66">
        <v>45835</v>
      </c>
      <c r="P153" s="64">
        <v>130</v>
      </c>
      <c r="Q153" s="67"/>
      <c r="R153" s="67" t="s">
        <v>769</v>
      </c>
      <c r="S153" s="101">
        <v>70341960</v>
      </c>
    </row>
    <row r="154" spans="1:20" ht="15.75" customHeight="1" thickBot="1" x14ac:dyDescent="0.25">
      <c r="A154" s="50">
        <f t="shared" si="2"/>
        <v>152</v>
      </c>
      <c r="B154" s="70">
        <v>13875495</v>
      </c>
      <c r="C154" s="64" t="s">
        <v>744</v>
      </c>
      <c r="D154" s="64" t="s">
        <v>382</v>
      </c>
      <c r="E154" s="64" t="s">
        <v>770</v>
      </c>
      <c r="F154" s="64" t="s">
        <v>771</v>
      </c>
      <c r="G154" s="66">
        <v>39656</v>
      </c>
      <c r="H154" s="64" t="s">
        <v>41</v>
      </c>
      <c r="I154" s="64" t="s">
        <v>29</v>
      </c>
      <c r="J154" s="64" t="s">
        <v>701</v>
      </c>
      <c r="K154" s="64" t="s">
        <v>711</v>
      </c>
      <c r="L154" s="64" t="s">
        <v>438</v>
      </c>
      <c r="M154" s="64" t="s">
        <v>703</v>
      </c>
      <c r="N154" s="64">
        <v>264829166</v>
      </c>
      <c r="O154" s="66">
        <v>45831</v>
      </c>
      <c r="P154" s="64">
        <v>130</v>
      </c>
      <c r="Q154" s="67"/>
      <c r="R154" s="67" t="s">
        <v>772</v>
      </c>
      <c r="S154" s="101">
        <v>63998658</v>
      </c>
    </row>
    <row r="155" spans="1:20" ht="15.75" customHeight="1" thickBot="1" x14ac:dyDescent="0.25">
      <c r="A155" s="50">
        <f t="shared" si="2"/>
        <v>153</v>
      </c>
      <c r="B155" s="64">
        <v>14058431</v>
      </c>
      <c r="C155" s="64" t="s">
        <v>773</v>
      </c>
      <c r="D155" s="64" t="s">
        <v>774</v>
      </c>
      <c r="E155" s="64" t="s">
        <v>249</v>
      </c>
      <c r="F155" s="64" t="s">
        <v>775</v>
      </c>
      <c r="G155" s="66">
        <v>39845</v>
      </c>
      <c r="H155" s="64" t="s">
        <v>41</v>
      </c>
      <c r="I155" s="64" t="s">
        <v>29</v>
      </c>
      <c r="J155" s="124" t="s">
        <v>701</v>
      </c>
      <c r="K155" s="64" t="s">
        <v>702</v>
      </c>
      <c r="L155" s="64" t="s">
        <v>776</v>
      </c>
      <c r="M155" s="64" t="s">
        <v>703</v>
      </c>
      <c r="N155" s="67"/>
      <c r="O155" s="67"/>
      <c r="P155" s="67"/>
      <c r="Q155" s="67"/>
      <c r="R155" s="67" t="s">
        <v>777</v>
      </c>
      <c r="S155" s="101">
        <v>64849984</v>
      </c>
    </row>
    <row r="156" spans="1:20" ht="15.75" customHeight="1" thickBot="1" x14ac:dyDescent="0.25">
      <c r="A156" s="50">
        <f t="shared" si="2"/>
        <v>154</v>
      </c>
      <c r="B156" s="63">
        <v>12741703</v>
      </c>
      <c r="C156" s="64" t="s">
        <v>778</v>
      </c>
      <c r="D156" s="64" t="s">
        <v>779</v>
      </c>
      <c r="E156" s="64" t="s">
        <v>780</v>
      </c>
      <c r="F156" s="64" t="s">
        <v>486</v>
      </c>
      <c r="G156" s="66">
        <v>39342</v>
      </c>
      <c r="H156" s="64" t="s">
        <v>28</v>
      </c>
      <c r="I156" s="64" t="s">
        <v>29</v>
      </c>
      <c r="J156" s="64" t="s">
        <v>781</v>
      </c>
      <c r="K156" s="64" t="s">
        <v>711</v>
      </c>
      <c r="L156" s="64" t="s">
        <v>454</v>
      </c>
      <c r="M156" s="64" t="s">
        <v>782</v>
      </c>
      <c r="N156" s="64" t="s">
        <v>783</v>
      </c>
      <c r="O156" s="66">
        <v>46870</v>
      </c>
      <c r="P156" s="64">
        <v>120</v>
      </c>
      <c r="Q156" s="67"/>
      <c r="R156" s="67" t="s">
        <v>784</v>
      </c>
      <c r="S156" s="101">
        <v>72487878</v>
      </c>
    </row>
    <row r="157" spans="1:20" ht="15.75" customHeight="1" thickBot="1" x14ac:dyDescent="0.25">
      <c r="A157" s="50">
        <f t="shared" si="2"/>
        <v>155</v>
      </c>
      <c r="B157" s="74">
        <v>13876106</v>
      </c>
      <c r="C157" s="64" t="s">
        <v>785</v>
      </c>
      <c r="D157" s="64" t="s">
        <v>786</v>
      </c>
      <c r="E157" s="64" t="s">
        <v>787</v>
      </c>
      <c r="F157" s="64" t="s">
        <v>788</v>
      </c>
      <c r="G157" s="66">
        <v>39787</v>
      </c>
      <c r="H157" s="64" t="s">
        <v>28</v>
      </c>
      <c r="I157" s="64" t="s">
        <v>29</v>
      </c>
      <c r="J157" s="64" t="s">
        <v>781</v>
      </c>
      <c r="K157" s="64" t="s">
        <v>702</v>
      </c>
      <c r="L157" s="64" t="s">
        <v>438</v>
      </c>
      <c r="M157" s="64" t="s">
        <v>789</v>
      </c>
      <c r="N157" s="64">
        <v>3078684083</v>
      </c>
      <c r="O157" s="66">
        <v>45846</v>
      </c>
      <c r="P157" s="64">
        <v>130</v>
      </c>
      <c r="Q157" s="67" t="s">
        <v>790</v>
      </c>
      <c r="R157" s="67"/>
      <c r="S157" s="67"/>
    </row>
    <row r="158" spans="1:20" ht="15.75" customHeight="1" thickBot="1" x14ac:dyDescent="0.25">
      <c r="A158" s="50">
        <f t="shared" si="2"/>
        <v>156</v>
      </c>
      <c r="B158" s="74">
        <v>13881521</v>
      </c>
      <c r="C158" s="64" t="s">
        <v>248</v>
      </c>
      <c r="D158" s="67"/>
      <c r="E158" s="64" t="s">
        <v>791</v>
      </c>
      <c r="F158" s="64" t="s">
        <v>693</v>
      </c>
      <c r="G158" s="66">
        <v>40269</v>
      </c>
      <c r="H158" s="64" t="s">
        <v>28</v>
      </c>
      <c r="I158" s="64" t="s">
        <v>29</v>
      </c>
      <c r="J158" s="64" t="s">
        <v>781</v>
      </c>
      <c r="K158" s="64" t="s">
        <v>792</v>
      </c>
      <c r="L158" s="64" t="s">
        <v>510</v>
      </c>
      <c r="M158" s="64" t="s">
        <v>793</v>
      </c>
      <c r="N158" s="64">
        <v>962938657</v>
      </c>
      <c r="O158" s="66">
        <v>42172</v>
      </c>
      <c r="P158" s="64">
        <v>130</v>
      </c>
      <c r="Q158" s="67" t="s">
        <v>790</v>
      </c>
      <c r="R158" s="67"/>
      <c r="S158" s="67"/>
    </row>
    <row r="159" spans="1:20" ht="15.75" customHeight="1" thickBot="1" x14ac:dyDescent="0.25">
      <c r="A159" s="50">
        <f t="shared" si="2"/>
        <v>157</v>
      </c>
      <c r="B159" s="74">
        <v>12399686</v>
      </c>
      <c r="C159" s="64" t="s">
        <v>794</v>
      </c>
      <c r="D159" s="67"/>
      <c r="E159" s="64" t="s">
        <v>795</v>
      </c>
      <c r="F159" s="64" t="s">
        <v>796</v>
      </c>
      <c r="G159" s="66">
        <v>40322</v>
      </c>
      <c r="H159" s="64" t="s">
        <v>41</v>
      </c>
      <c r="I159" s="64" t="s">
        <v>29</v>
      </c>
      <c r="J159" s="64" t="s">
        <v>781</v>
      </c>
      <c r="K159" s="64" t="s">
        <v>706</v>
      </c>
      <c r="L159" s="64" t="s">
        <v>797</v>
      </c>
      <c r="M159" s="64" t="s">
        <v>793</v>
      </c>
      <c r="N159" s="64">
        <v>53715612252</v>
      </c>
      <c r="O159" s="66">
        <v>45814</v>
      </c>
      <c r="P159" s="64">
        <v>130</v>
      </c>
      <c r="Q159" s="67" t="s">
        <v>790</v>
      </c>
      <c r="R159" s="67"/>
      <c r="S159" s="67"/>
    </row>
    <row r="160" spans="1:20" ht="15.75" customHeight="1" thickBot="1" x14ac:dyDescent="0.25">
      <c r="A160" s="50">
        <f t="shared" si="2"/>
        <v>158</v>
      </c>
      <c r="B160" s="125">
        <v>13749100</v>
      </c>
      <c r="C160" s="99" t="s">
        <v>798</v>
      </c>
      <c r="D160" s="99" t="s">
        <v>799</v>
      </c>
      <c r="E160" s="99" t="s">
        <v>800</v>
      </c>
      <c r="F160" s="99" t="s">
        <v>801</v>
      </c>
      <c r="G160" s="126">
        <v>38696</v>
      </c>
      <c r="H160" s="99" t="s">
        <v>41</v>
      </c>
      <c r="I160" s="99" t="s">
        <v>802</v>
      </c>
      <c r="J160" s="99" t="s">
        <v>803</v>
      </c>
      <c r="K160" s="99" t="s">
        <v>804</v>
      </c>
      <c r="L160" s="99" t="s">
        <v>805</v>
      </c>
      <c r="M160" s="99" t="s">
        <v>806</v>
      </c>
      <c r="N160" s="127">
        <v>725000000000000</v>
      </c>
      <c r="O160" s="126">
        <v>45771</v>
      </c>
      <c r="P160" s="62"/>
      <c r="Q160" s="99">
        <v>1</v>
      </c>
      <c r="R160" s="99" t="s">
        <v>807</v>
      </c>
      <c r="S160" s="99">
        <v>60729320</v>
      </c>
      <c r="T160" s="67"/>
    </row>
    <row r="161" spans="1:20" ht="15.75" customHeight="1" thickBot="1" x14ac:dyDescent="0.25">
      <c r="A161" s="50">
        <f t="shared" si="2"/>
        <v>159</v>
      </c>
      <c r="B161" s="128">
        <v>13131810</v>
      </c>
      <c r="C161" s="101" t="s">
        <v>808</v>
      </c>
      <c r="D161" s="101" t="s">
        <v>809</v>
      </c>
      <c r="E161" s="101" t="s">
        <v>810</v>
      </c>
      <c r="F161" s="101" t="s">
        <v>811</v>
      </c>
      <c r="G161" s="129">
        <v>38175</v>
      </c>
      <c r="H161" s="101" t="s">
        <v>28</v>
      </c>
      <c r="I161" s="101" t="s">
        <v>802</v>
      </c>
      <c r="J161" s="101" t="s">
        <v>803</v>
      </c>
      <c r="K161" s="101" t="s">
        <v>812</v>
      </c>
      <c r="L161" s="101" t="s">
        <v>813</v>
      </c>
      <c r="M161" s="101" t="s">
        <v>814</v>
      </c>
      <c r="N161" s="101" t="s">
        <v>815</v>
      </c>
      <c r="O161" s="129">
        <v>45774</v>
      </c>
      <c r="P161" s="101" t="s">
        <v>816</v>
      </c>
      <c r="Q161" s="101">
        <v>1</v>
      </c>
      <c r="R161" s="101" t="s">
        <v>817</v>
      </c>
      <c r="S161" s="101">
        <v>70739386</v>
      </c>
      <c r="T161" s="67"/>
    </row>
    <row r="162" spans="1:20" ht="15.75" customHeight="1" thickBot="1" x14ac:dyDescent="0.25">
      <c r="A162" s="50">
        <f t="shared" si="2"/>
        <v>160</v>
      </c>
      <c r="B162" s="128">
        <v>12895548</v>
      </c>
      <c r="C162" s="101" t="s">
        <v>818</v>
      </c>
      <c r="D162" s="101" t="s">
        <v>819</v>
      </c>
      <c r="E162" s="101" t="s">
        <v>820</v>
      </c>
      <c r="F162" s="101" t="s">
        <v>821</v>
      </c>
      <c r="G162" s="129">
        <v>38631</v>
      </c>
      <c r="H162" s="101" t="s">
        <v>28</v>
      </c>
      <c r="I162" s="101" t="s">
        <v>802</v>
      </c>
      <c r="J162" s="101" t="s">
        <v>822</v>
      </c>
      <c r="K162" s="101" t="s">
        <v>804</v>
      </c>
      <c r="L162" s="101" t="s">
        <v>805</v>
      </c>
      <c r="M162" s="101" t="s">
        <v>823</v>
      </c>
      <c r="N162" s="101">
        <v>626349768</v>
      </c>
      <c r="O162" s="129">
        <v>45775</v>
      </c>
      <c r="P162" s="67"/>
      <c r="Q162" s="101">
        <v>1</v>
      </c>
      <c r="R162" s="101" t="s">
        <v>824</v>
      </c>
      <c r="S162" s="101">
        <v>72555595</v>
      </c>
      <c r="T162" s="67"/>
    </row>
    <row r="163" spans="1:20" ht="15.75" customHeight="1" thickBot="1" x14ac:dyDescent="0.25">
      <c r="A163" s="50">
        <f t="shared" si="2"/>
        <v>161</v>
      </c>
      <c r="B163" s="128">
        <v>10369756</v>
      </c>
      <c r="C163" s="101" t="s">
        <v>825</v>
      </c>
      <c r="D163" s="101" t="s">
        <v>140</v>
      </c>
      <c r="E163" s="101" t="s">
        <v>826</v>
      </c>
      <c r="F163" s="101" t="s">
        <v>827</v>
      </c>
      <c r="G163" s="129">
        <v>38376</v>
      </c>
      <c r="H163" s="101" t="s">
        <v>41</v>
      </c>
      <c r="I163" s="101" t="s">
        <v>802</v>
      </c>
      <c r="J163" s="101" t="s">
        <v>803</v>
      </c>
      <c r="K163" s="101" t="s">
        <v>804</v>
      </c>
      <c r="L163" s="101" t="s">
        <v>813</v>
      </c>
      <c r="M163" s="101" t="s">
        <v>828</v>
      </c>
      <c r="N163" s="101" t="s">
        <v>829</v>
      </c>
      <c r="O163" s="129">
        <v>45775</v>
      </c>
      <c r="P163" s="67"/>
      <c r="Q163" s="101">
        <v>1</v>
      </c>
      <c r="R163" s="101" t="s">
        <v>830</v>
      </c>
      <c r="S163" s="101">
        <v>78699716</v>
      </c>
      <c r="T163" s="67"/>
    </row>
    <row r="164" spans="1:20" ht="15.75" customHeight="1" thickBot="1" x14ac:dyDescent="0.25">
      <c r="A164" s="50">
        <f t="shared" si="2"/>
        <v>162</v>
      </c>
      <c r="B164" s="128">
        <v>7268421</v>
      </c>
      <c r="C164" s="101" t="s">
        <v>831</v>
      </c>
      <c r="D164" s="101" t="s">
        <v>832</v>
      </c>
      <c r="E164" s="101" t="s">
        <v>833</v>
      </c>
      <c r="F164" s="101" t="s">
        <v>834</v>
      </c>
      <c r="G164" s="129">
        <v>38486</v>
      </c>
      <c r="H164" s="101" t="s">
        <v>28</v>
      </c>
      <c r="I164" s="101" t="s">
        <v>802</v>
      </c>
      <c r="J164" s="101" t="s">
        <v>835</v>
      </c>
      <c r="K164" s="101" t="s">
        <v>836</v>
      </c>
      <c r="L164" s="101" t="s">
        <v>837</v>
      </c>
      <c r="M164" s="101" t="s">
        <v>838</v>
      </c>
      <c r="N164" s="101" t="s">
        <v>839</v>
      </c>
      <c r="O164" s="129">
        <v>45775</v>
      </c>
      <c r="P164" s="67"/>
      <c r="Q164" s="101">
        <v>1</v>
      </c>
      <c r="R164" s="101" t="s">
        <v>840</v>
      </c>
      <c r="S164" s="101">
        <v>68524386</v>
      </c>
      <c r="T164" s="67"/>
    </row>
    <row r="165" spans="1:20" ht="15.75" customHeight="1" thickBot="1" x14ac:dyDescent="0.25">
      <c r="A165" s="50">
        <f t="shared" si="2"/>
        <v>163</v>
      </c>
      <c r="B165" s="130">
        <v>14094506</v>
      </c>
      <c r="C165" s="69" t="s">
        <v>841</v>
      </c>
      <c r="D165" s="64" t="s">
        <v>164</v>
      </c>
      <c r="E165" s="64" t="s">
        <v>842</v>
      </c>
      <c r="F165" s="64" t="s">
        <v>227</v>
      </c>
      <c r="G165" s="66">
        <v>38539</v>
      </c>
      <c r="H165" s="64" t="s">
        <v>28</v>
      </c>
      <c r="I165" s="64" t="s">
        <v>29</v>
      </c>
      <c r="J165" s="64" t="s">
        <v>843</v>
      </c>
      <c r="K165" s="64" t="s">
        <v>804</v>
      </c>
      <c r="L165" s="64" t="s">
        <v>844</v>
      </c>
      <c r="M165" s="131" t="s">
        <v>845</v>
      </c>
      <c r="N165" s="67"/>
      <c r="O165" s="67"/>
      <c r="P165" s="67"/>
      <c r="Q165" s="67"/>
      <c r="R165" s="67"/>
      <c r="S165" s="67"/>
      <c r="T165" s="67"/>
    </row>
    <row r="166" spans="1:20" ht="15.75" customHeight="1" thickBot="1" x14ac:dyDescent="0.25">
      <c r="A166" s="50">
        <f t="shared" si="2"/>
        <v>164</v>
      </c>
      <c r="B166" s="69">
        <v>8777913</v>
      </c>
      <c r="C166" s="69" t="s">
        <v>846</v>
      </c>
      <c r="D166" s="67" t="s">
        <v>68</v>
      </c>
      <c r="E166" s="64" t="s">
        <v>847</v>
      </c>
      <c r="F166" s="64" t="s">
        <v>741</v>
      </c>
      <c r="G166" s="66">
        <v>39143</v>
      </c>
      <c r="H166" s="64" t="s">
        <v>41</v>
      </c>
      <c r="I166" s="64" t="s">
        <v>29</v>
      </c>
      <c r="J166" s="64" t="s">
        <v>843</v>
      </c>
      <c r="K166" s="64" t="s">
        <v>848</v>
      </c>
      <c r="L166" s="64" t="s">
        <v>849</v>
      </c>
      <c r="M166" s="64" t="s">
        <v>850</v>
      </c>
      <c r="N166" s="67"/>
      <c r="O166" s="67"/>
      <c r="P166" s="67"/>
      <c r="Q166" s="67"/>
      <c r="R166" s="67"/>
      <c r="S166" s="132"/>
      <c r="T166" s="132"/>
    </row>
    <row r="167" spans="1:20" ht="15.75" customHeight="1" thickBot="1" x14ac:dyDescent="0.25">
      <c r="A167" s="50">
        <f t="shared" si="2"/>
        <v>165</v>
      </c>
      <c r="B167" s="133">
        <v>13353704</v>
      </c>
      <c r="C167" s="134" t="s">
        <v>851</v>
      </c>
      <c r="D167" s="134" t="s">
        <v>852</v>
      </c>
      <c r="E167" s="134" t="s">
        <v>853</v>
      </c>
      <c r="F167" s="134" t="s">
        <v>854</v>
      </c>
      <c r="G167" s="135">
        <v>38355</v>
      </c>
      <c r="H167" s="134" t="s">
        <v>28</v>
      </c>
      <c r="I167" s="134" t="s">
        <v>560</v>
      </c>
      <c r="J167" s="134" t="s">
        <v>803</v>
      </c>
      <c r="K167" s="134" t="s">
        <v>855</v>
      </c>
      <c r="L167" s="134" t="s">
        <v>856</v>
      </c>
      <c r="M167" s="134" t="s">
        <v>857</v>
      </c>
      <c r="N167" s="134" t="s">
        <v>858</v>
      </c>
      <c r="O167" s="135">
        <v>45774</v>
      </c>
      <c r="P167" s="134" t="s">
        <v>816</v>
      </c>
      <c r="Q167" s="133">
        <v>3</v>
      </c>
      <c r="R167" s="136" t="s">
        <v>859</v>
      </c>
      <c r="S167" s="136">
        <v>77973137</v>
      </c>
      <c r="T167" s="138" t="s">
        <v>816</v>
      </c>
    </row>
    <row r="168" spans="1:20" ht="15.75" customHeight="1" thickBot="1" x14ac:dyDescent="0.25">
      <c r="A168" s="50">
        <f t="shared" si="2"/>
        <v>166</v>
      </c>
      <c r="B168" s="133">
        <v>13353706</v>
      </c>
      <c r="C168" s="134" t="s">
        <v>860</v>
      </c>
      <c r="D168" s="134" t="s">
        <v>861</v>
      </c>
      <c r="E168" s="134" t="s">
        <v>853</v>
      </c>
      <c r="F168" s="134" t="s">
        <v>854</v>
      </c>
      <c r="G168" s="135">
        <v>38826</v>
      </c>
      <c r="H168" s="134" t="s">
        <v>28</v>
      </c>
      <c r="I168" s="134" t="s">
        <v>560</v>
      </c>
      <c r="J168" s="134" t="s">
        <v>803</v>
      </c>
      <c r="K168" s="134" t="s">
        <v>862</v>
      </c>
      <c r="L168" s="134" t="s">
        <v>863</v>
      </c>
      <c r="M168" s="134" t="s">
        <v>864</v>
      </c>
      <c r="N168" s="134" t="s">
        <v>865</v>
      </c>
      <c r="O168" s="135">
        <v>45774</v>
      </c>
      <c r="P168" s="133">
        <v>265</v>
      </c>
      <c r="Q168" s="133">
        <v>3</v>
      </c>
      <c r="R168" s="137" t="s">
        <v>859</v>
      </c>
      <c r="S168" s="137">
        <v>76971630</v>
      </c>
      <c r="T168" s="139"/>
    </row>
    <row r="169" spans="1:20" ht="15.75" customHeight="1" thickBot="1" x14ac:dyDescent="0.25">
      <c r="A169" s="50">
        <f t="shared" si="2"/>
        <v>167</v>
      </c>
      <c r="B169" s="133">
        <v>13353705</v>
      </c>
      <c r="C169" s="134" t="s">
        <v>866</v>
      </c>
      <c r="D169" s="134" t="s">
        <v>867</v>
      </c>
      <c r="E169" s="134" t="s">
        <v>853</v>
      </c>
      <c r="F169" s="134" t="s">
        <v>854</v>
      </c>
      <c r="G169" s="135">
        <v>38355</v>
      </c>
      <c r="H169" s="134" t="s">
        <v>41</v>
      </c>
      <c r="I169" s="134" t="s">
        <v>802</v>
      </c>
      <c r="J169" s="134" t="s">
        <v>803</v>
      </c>
      <c r="K169" s="134" t="s">
        <v>855</v>
      </c>
      <c r="L169" s="134" t="s">
        <v>863</v>
      </c>
      <c r="M169" s="134" t="s">
        <v>868</v>
      </c>
      <c r="N169" s="134" t="s">
        <v>865</v>
      </c>
      <c r="O169" s="135">
        <v>45774</v>
      </c>
      <c r="P169" s="133">
        <v>265</v>
      </c>
      <c r="Q169" s="133">
        <v>3</v>
      </c>
      <c r="R169" s="134"/>
      <c r="S169" s="137">
        <v>61610577</v>
      </c>
      <c r="T169" s="140"/>
    </row>
    <row r="170" spans="1:20" ht="15.75" customHeight="1" thickBot="1" x14ac:dyDescent="0.25">
      <c r="A170" s="50">
        <f t="shared" si="2"/>
        <v>168</v>
      </c>
      <c r="B170" s="74">
        <v>10551977</v>
      </c>
      <c r="C170" s="64" t="s">
        <v>869</v>
      </c>
      <c r="D170" s="64" t="s">
        <v>140</v>
      </c>
      <c r="E170" s="64" t="s">
        <v>870</v>
      </c>
      <c r="F170" s="64" t="s">
        <v>871</v>
      </c>
      <c r="G170" s="66">
        <v>38275</v>
      </c>
      <c r="H170" s="64" t="s">
        <v>41</v>
      </c>
      <c r="I170" s="64" t="s">
        <v>802</v>
      </c>
      <c r="J170" s="64" t="s">
        <v>803</v>
      </c>
      <c r="K170" s="64" t="s">
        <v>872</v>
      </c>
      <c r="L170" s="64" t="s">
        <v>873</v>
      </c>
      <c r="M170" s="64" t="s">
        <v>874</v>
      </c>
      <c r="N170" s="64">
        <v>5351636003</v>
      </c>
      <c r="O170" s="66">
        <v>45915</v>
      </c>
      <c r="P170" s="64">
        <v>130</v>
      </c>
      <c r="Q170" s="101">
        <v>3</v>
      </c>
      <c r="R170" s="67" t="s">
        <v>875</v>
      </c>
      <c r="S170" s="101">
        <v>78722891</v>
      </c>
      <c r="T170" s="67"/>
    </row>
    <row r="171" spans="1:20" ht="15.75" customHeight="1" thickBot="1" x14ac:dyDescent="0.25">
      <c r="A171" s="50">
        <f t="shared" si="2"/>
        <v>169</v>
      </c>
      <c r="B171" s="74">
        <v>9491673</v>
      </c>
      <c r="C171" s="64" t="s">
        <v>876</v>
      </c>
      <c r="D171" s="64" t="s">
        <v>877</v>
      </c>
      <c r="E171" s="64" t="s">
        <v>878</v>
      </c>
      <c r="F171" s="64" t="s">
        <v>879</v>
      </c>
      <c r="G171" s="66">
        <v>38489</v>
      </c>
      <c r="H171" s="64" t="s">
        <v>41</v>
      </c>
      <c r="I171" s="64" t="s">
        <v>802</v>
      </c>
      <c r="J171" s="64" t="s">
        <v>803</v>
      </c>
      <c r="K171" s="64" t="s">
        <v>855</v>
      </c>
      <c r="L171" s="64" t="s">
        <v>880</v>
      </c>
      <c r="M171" s="64" t="s">
        <v>881</v>
      </c>
      <c r="N171" s="64">
        <v>1627756683</v>
      </c>
      <c r="O171" s="66">
        <v>45927</v>
      </c>
      <c r="P171" s="64">
        <v>130</v>
      </c>
      <c r="Q171" s="64">
        <v>3</v>
      </c>
      <c r="R171" s="67" t="s">
        <v>882</v>
      </c>
      <c r="S171" s="101">
        <v>70351062</v>
      </c>
      <c r="T171" s="67"/>
    </row>
  </sheetData>
  <mergeCells count="6">
    <mergeCell ref="T167:T169"/>
    <mergeCell ref="A1:C1"/>
    <mergeCell ref="G1:I1"/>
    <mergeCell ref="N1:Q1"/>
    <mergeCell ref="R1:S1"/>
    <mergeCell ref="N80:Q80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AC28-83FE-45DA-B013-2C1994419D7A}">
  <dimension ref="A1:K38"/>
  <sheetViews>
    <sheetView tabSelected="1" topLeftCell="A16" workbookViewId="0">
      <selection activeCell="A36" sqref="A36:H38"/>
    </sheetView>
  </sheetViews>
  <sheetFormatPr baseColWidth="10" defaultRowHeight="12.75" x14ac:dyDescent="0.2"/>
  <sheetData>
    <row r="1" spans="1:11" ht="60.75" thickBot="1" x14ac:dyDescent="0.25">
      <c r="A1" s="141" t="s">
        <v>5</v>
      </c>
      <c r="B1" s="142" t="s">
        <v>6</v>
      </c>
      <c r="C1" s="142" t="s">
        <v>7</v>
      </c>
      <c r="D1" s="142" t="s">
        <v>8</v>
      </c>
      <c r="E1" s="142" t="s">
        <v>9</v>
      </c>
      <c r="F1" s="142" t="s">
        <v>10</v>
      </c>
      <c r="G1" s="142" t="s">
        <v>11</v>
      </c>
      <c r="H1" s="142" t="s">
        <v>12</v>
      </c>
      <c r="I1" s="142" t="s">
        <v>13</v>
      </c>
      <c r="J1" s="142" t="s">
        <v>14</v>
      </c>
      <c r="K1" s="142" t="s">
        <v>883</v>
      </c>
    </row>
    <row r="2" spans="1:11" ht="13.5" thickBot="1" x14ac:dyDescent="0.25">
      <c r="A2" s="101">
        <v>1</v>
      </c>
      <c r="B2" s="74">
        <v>6404848</v>
      </c>
      <c r="C2" s="63" t="s">
        <v>884</v>
      </c>
      <c r="D2" s="64" t="s">
        <v>885</v>
      </c>
      <c r="E2" s="64" t="s">
        <v>257</v>
      </c>
      <c r="F2" s="64" t="s">
        <v>629</v>
      </c>
      <c r="G2" s="66">
        <v>36012</v>
      </c>
      <c r="H2" s="64" t="s">
        <v>28</v>
      </c>
      <c r="I2" s="64" t="s">
        <v>29</v>
      </c>
      <c r="J2" s="64" t="s">
        <v>701</v>
      </c>
      <c r="K2" s="67"/>
    </row>
    <row r="3" spans="1:11" ht="26.25" thickBot="1" x14ac:dyDescent="0.25">
      <c r="A3" s="101">
        <v>2</v>
      </c>
      <c r="B3" s="74">
        <v>8649008</v>
      </c>
      <c r="C3" s="63" t="s">
        <v>886</v>
      </c>
      <c r="D3" s="64" t="s">
        <v>887</v>
      </c>
      <c r="E3" s="64" t="s">
        <v>888</v>
      </c>
      <c r="F3" s="64" t="s">
        <v>889</v>
      </c>
      <c r="G3" s="66">
        <v>37104</v>
      </c>
      <c r="H3" s="64" t="s">
        <v>41</v>
      </c>
      <c r="I3" s="64" t="s">
        <v>29</v>
      </c>
      <c r="J3" s="64" t="s">
        <v>608</v>
      </c>
      <c r="K3" s="67"/>
    </row>
    <row r="4" spans="1:11" ht="26.25" thickBot="1" x14ac:dyDescent="0.25">
      <c r="A4" s="101">
        <v>3</v>
      </c>
      <c r="B4" s="74">
        <v>10470610</v>
      </c>
      <c r="C4" s="63" t="s">
        <v>659</v>
      </c>
      <c r="D4" s="64" t="s">
        <v>210</v>
      </c>
      <c r="E4" s="64" t="s">
        <v>890</v>
      </c>
      <c r="F4" s="64" t="s">
        <v>891</v>
      </c>
      <c r="G4" s="66">
        <v>37509</v>
      </c>
      <c r="H4" s="64" t="s">
        <v>41</v>
      </c>
      <c r="I4" s="64" t="s">
        <v>29</v>
      </c>
      <c r="J4" s="64" t="s">
        <v>892</v>
      </c>
      <c r="K4" s="64" t="s">
        <v>893</v>
      </c>
    </row>
    <row r="5" spans="1:11" ht="13.5" thickBot="1" x14ac:dyDescent="0.25">
      <c r="A5" s="101">
        <v>4</v>
      </c>
      <c r="B5" s="143"/>
      <c r="C5" s="63" t="s">
        <v>894</v>
      </c>
      <c r="D5" s="67"/>
      <c r="E5" s="64" t="s">
        <v>895</v>
      </c>
      <c r="F5" s="67"/>
      <c r="G5" s="67"/>
      <c r="H5" s="67"/>
      <c r="I5" s="67"/>
      <c r="J5" s="67"/>
      <c r="K5" s="67"/>
    </row>
    <row r="6" spans="1:11" ht="26.25" thickBot="1" x14ac:dyDescent="0.25">
      <c r="A6" s="101">
        <v>5</v>
      </c>
      <c r="B6" s="74">
        <v>8049267</v>
      </c>
      <c r="C6" s="63" t="s">
        <v>896</v>
      </c>
      <c r="D6" s="67"/>
      <c r="E6" s="64" t="s">
        <v>183</v>
      </c>
      <c r="F6" s="64" t="s">
        <v>897</v>
      </c>
      <c r="G6" s="66">
        <v>34963</v>
      </c>
      <c r="H6" s="64" t="s">
        <v>28</v>
      </c>
      <c r="I6" s="64" t="s">
        <v>29</v>
      </c>
      <c r="J6" s="64" t="s">
        <v>843</v>
      </c>
      <c r="K6" s="64" t="s">
        <v>893</v>
      </c>
    </row>
    <row r="7" spans="1:11" ht="13.5" thickBot="1" x14ac:dyDescent="0.25">
      <c r="A7" s="101">
        <v>6</v>
      </c>
      <c r="B7" s="74">
        <v>7921658</v>
      </c>
      <c r="C7" s="63" t="s">
        <v>898</v>
      </c>
      <c r="D7" s="64" t="s">
        <v>899</v>
      </c>
      <c r="E7" s="64" t="s">
        <v>900</v>
      </c>
      <c r="F7" s="64" t="s">
        <v>901</v>
      </c>
      <c r="G7" s="66">
        <v>36542</v>
      </c>
      <c r="H7" s="64" t="s">
        <v>28</v>
      </c>
      <c r="I7" s="64" t="s">
        <v>29</v>
      </c>
      <c r="J7" s="64" t="s">
        <v>168</v>
      </c>
      <c r="K7" s="67"/>
    </row>
    <row r="8" spans="1:11" ht="26.25" thickBot="1" x14ac:dyDescent="0.25">
      <c r="A8" s="101">
        <v>7</v>
      </c>
      <c r="B8" s="74">
        <v>8637944</v>
      </c>
      <c r="C8" s="63" t="s">
        <v>659</v>
      </c>
      <c r="D8" s="67"/>
      <c r="E8" s="64" t="s">
        <v>249</v>
      </c>
      <c r="F8" s="64" t="s">
        <v>190</v>
      </c>
      <c r="G8" s="66">
        <v>37330</v>
      </c>
      <c r="H8" s="64" t="s">
        <v>41</v>
      </c>
      <c r="I8" s="64" t="s">
        <v>29</v>
      </c>
      <c r="J8" s="64" t="s">
        <v>504</v>
      </c>
      <c r="K8" s="64" t="s">
        <v>893</v>
      </c>
    </row>
    <row r="9" spans="1:11" ht="13.5" thickBot="1" x14ac:dyDescent="0.25">
      <c r="A9" s="101">
        <v>8</v>
      </c>
      <c r="B9" s="143"/>
      <c r="C9" s="63" t="s">
        <v>902</v>
      </c>
      <c r="D9" s="64" t="s">
        <v>903</v>
      </c>
      <c r="E9" s="64" t="s">
        <v>904</v>
      </c>
      <c r="F9" s="67"/>
      <c r="G9" s="67"/>
      <c r="H9" s="64" t="s">
        <v>28</v>
      </c>
      <c r="I9" s="64" t="s">
        <v>29</v>
      </c>
      <c r="J9" s="67"/>
      <c r="K9" s="67"/>
    </row>
    <row r="10" spans="1:11" ht="13.5" thickBot="1" x14ac:dyDescent="0.25">
      <c r="A10" s="101">
        <v>9</v>
      </c>
      <c r="B10" s="143"/>
      <c r="C10" s="63" t="s">
        <v>905</v>
      </c>
      <c r="D10" s="67"/>
      <c r="E10" s="64" t="s">
        <v>906</v>
      </c>
      <c r="F10" s="67"/>
      <c r="G10" s="67"/>
      <c r="H10" s="67"/>
      <c r="I10" s="67"/>
      <c r="J10" s="67"/>
      <c r="K10" s="67"/>
    </row>
    <row r="11" spans="1:11" ht="26.25" thickBot="1" x14ac:dyDescent="0.25">
      <c r="A11" s="101">
        <v>10</v>
      </c>
      <c r="B11" s="74">
        <v>5905154</v>
      </c>
      <c r="C11" s="63" t="s">
        <v>907</v>
      </c>
      <c r="D11" s="64" t="s">
        <v>908</v>
      </c>
      <c r="E11" s="64" t="s">
        <v>847</v>
      </c>
      <c r="F11" s="64" t="s">
        <v>741</v>
      </c>
      <c r="G11" s="66">
        <v>36848</v>
      </c>
      <c r="H11" s="64" t="s">
        <v>28</v>
      </c>
      <c r="I11" s="64" t="s">
        <v>29</v>
      </c>
      <c r="J11" s="67"/>
      <c r="K11" s="67"/>
    </row>
    <row r="12" spans="1:11" ht="26.25" thickBot="1" x14ac:dyDescent="0.25">
      <c r="A12" s="101">
        <v>11</v>
      </c>
      <c r="B12" s="74">
        <v>7925477</v>
      </c>
      <c r="C12" s="63" t="s">
        <v>909</v>
      </c>
      <c r="D12" s="64" t="s">
        <v>910</v>
      </c>
      <c r="E12" s="64" t="s">
        <v>249</v>
      </c>
      <c r="F12" s="64" t="s">
        <v>283</v>
      </c>
      <c r="G12" s="66">
        <v>36012</v>
      </c>
      <c r="H12" s="64" t="s">
        <v>41</v>
      </c>
      <c r="I12" s="64" t="s">
        <v>29</v>
      </c>
      <c r="J12" s="64" t="s">
        <v>781</v>
      </c>
      <c r="K12" s="67"/>
    </row>
    <row r="13" spans="1:11" ht="13.5" thickBot="1" x14ac:dyDescent="0.25">
      <c r="A13" s="101">
        <v>12</v>
      </c>
      <c r="B13" s="143"/>
      <c r="C13" s="63" t="s">
        <v>567</v>
      </c>
      <c r="D13" s="67"/>
      <c r="E13" s="64" t="s">
        <v>911</v>
      </c>
      <c r="F13" s="64" t="s">
        <v>912</v>
      </c>
      <c r="G13" s="67"/>
      <c r="H13" s="67"/>
      <c r="I13" s="67"/>
      <c r="J13" s="67"/>
      <c r="K13" s="67"/>
    </row>
    <row r="14" spans="1:11" ht="13.5" thickBot="1" x14ac:dyDescent="0.25">
      <c r="A14" s="101">
        <v>13</v>
      </c>
      <c r="B14" s="74">
        <v>5278027</v>
      </c>
      <c r="C14" s="63" t="s">
        <v>459</v>
      </c>
      <c r="D14" s="67"/>
      <c r="E14" s="64" t="s">
        <v>428</v>
      </c>
      <c r="F14" s="64" t="s">
        <v>343</v>
      </c>
      <c r="G14" s="66">
        <v>35348</v>
      </c>
      <c r="H14" s="64" t="s">
        <v>28</v>
      </c>
      <c r="I14" s="64" t="s">
        <v>29</v>
      </c>
      <c r="J14" s="67"/>
      <c r="K14" s="67"/>
    </row>
    <row r="15" spans="1:11" ht="26.25" thickBot="1" x14ac:dyDescent="0.25">
      <c r="A15" s="101">
        <v>14</v>
      </c>
      <c r="B15" s="143"/>
      <c r="C15" s="63" t="s">
        <v>913</v>
      </c>
      <c r="D15" s="64" t="s">
        <v>914</v>
      </c>
      <c r="E15" s="64" t="s">
        <v>343</v>
      </c>
      <c r="F15" s="64" t="s">
        <v>650</v>
      </c>
      <c r="G15" s="67"/>
      <c r="H15" s="67"/>
      <c r="I15" s="67"/>
      <c r="J15" s="67"/>
      <c r="K15" s="64" t="s">
        <v>893</v>
      </c>
    </row>
    <row r="16" spans="1:11" ht="26.25" thickBot="1" x14ac:dyDescent="0.25">
      <c r="A16" s="101">
        <v>15</v>
      </c>
      <c r="B16" s="74">
        <v>6485135</v>
      </c>
      <c r="C16" s="63" t="s">
        <v>915</v>
      </c>
      <c r="D16" s="64" t="s">
        <v>556</v>
      </c>
      <c r="E16" s="64" t="s">
        <v>916</v>
      </c>
      <c r="F16" s="64" t="s">
        <v>917</v>
      </c>
      <c r="G16" s="66">
        <v>35691</v>
      </c>
      <c r="H16" s="64" t="s">
        <v>41</v>
      </c>
      <c r="I16" s="64" t="s">
        <v>29</v>
      </c>
      <c r="J16" s="67"/>
      <c r="K16" s="67"/>
    </row>
    <row r="17" spans="1:11" ht="13.5" thickBot="1" x14ac:dyDescent="0.25">
      <c r="A17" s="101">
        <v>16</v>
      </c>
      <c r="B17" s="143"/>
      <c r="C17" s="63" t="s">
        <v>918</v>
      </c>
      <c r="D17" s="67"/>
      <c r="E17" s="67"/>
      <c r="F17" s="67"/>
      <c r="G17" s="67"/>
      <c r="H17" s="67"/>
      <c r="I17" s="67"/>
      <c r="J17" s="67"/>
      <c r="K17" s="67"/>
    </row>
    <row r="18" spans="1:11" ht="26.25" thickBot="1" x14ac:dyDescent="0.25">
      <c r="A18" s="101">
        <v>17</v>
      </c>
      <c r="B18" s="74">
        <v>8852165</v>
      </c>
      <c r="C18" s="63" t="s">
        <v>919</v>
      </c>
      <c r="D18" s="64" t="s">
        <v>210</v>
      </c>
      <c r="E18" s="64" t="s">
        <v>625</v>
      </c>
      <c r="F18" s="64" t="s">
        <v>920</v>
      </c>
      <c r="G18" s="66">
        <v>35851</v>
      </c>
      <c r="H18" s="64" t="s">
        <v>41</v>
      </c>
      <c r="I18" s="64" t="s">
        <v>29</v>
      </c>
      <c r="J18" s="67"/>
      <c r="K18" s="67"/>
    </row>
    <row r="19" spans="1:11" ht="13.5" thickBot="1" x14ac:dyDescent="0.25">
      <c r="A19" s="101">
        <v>18</v>
      </c>
      <c r="B19" s="74">
        <v>10636038</v>
      </c>
      <c r="C19" s="70" t="s">
        <v>164</v>
      </c>
      <c r="D19" s="64" t="s">
        <v>921</v>
      </c>
      <c r="E19" s="64" t="s">
        <v>922</v>
      </c>
      <c r="F19" s="67"/>
      <c r="G19" s="66">
        <v>36861</v>
      </c>
      <c r="H19" s="64" t="s">
        <v>28</v>
      </c>
      <c r="I19" s="64" t="s">
        <v>29</v>
      </c>
      <c r="J19" s="64" t="s">
        <v>892</v>
      </c>
      <c r="K19" s="67"/>
    </row>
    <row r="20" spans="1:11" ht="26.25" thickBot="1" x14ac:dyDescent="0.25">
      <c r="A20" s="101">
        <v>19</v>
      </c>
      <c r="B20" s="74">
        <v>3772269</v>
      </c>
      <c r="C20" s="70" t="s">
        <v>923</v>
      </c>
      <c r="D20" s="67"/>
      <c r="E20" s="64" t="s">
        <v>650</v>
      </c>
      <c r="F20" s="64" t="s">
        <v>924</v>
      </c>
      <c r="G20" s="66">
        <v>33195</v>
      </c>
      <c r="H20" s="64" t="s">
        <v>28</v>
      </c>
      <c r="I20" s="64" t="s">
        <v>29</v>
      </c>
      <c r="J20" s="64" t="s">
        <v>925</v>
      </c>
      <c r="K20" s="64" t="s">
        <v>893</v>
      </c>
    </row>
    <row r="21" spans="1:11" ht="13.5" thickBot="1" x14ac:dyDescent="0.25">
      <c r="A21" s="101">
        <v>20</v>
      </c>
      <c r="B21" s="143"/>
      <c r="C21" s="70" t="s">
        <v>926</v>
      </c>
      <c r="D21" s="67"/>
      <c r="E21" s="64" t="s">
        <v>927</v>
      </c>
      <c r="F21" s="67"/>
      <c r="G21" s="67"/>
      <c r="H21" s="64" t="s">
        <v>28</v>
      </c>
      <c r="I21" s="64" t="s">
        <v>29</v>
      </c>
      <c r="J21" s="67"/>
      <c r="K21" s="67"/>
    </row>
    <row r="22" spans="1:11" ht="13.5" thickBot="1" x14ac:dyDescent="0.25">
      <c r="A22" s="101">
        <v>21</v>
      </c>
      <c r="B22" s="74">
        <v>9586304</v>
      </c>
      <c r="C22" s="70" t="s">
        <v>238</v>
      </c>
      <c r="D22" s="64" t="s">
        <v>928</v>
      </c>
      <c r="E22" s="64" t="s">
        <v>929</v>
      </c>
      <c r="F22" s="64" t="s">
        <v>417</v>
      </c>
      <c r="G22" s="66">
        <v>36199</v>
      </c>
      <c r="H22" s="64" t="s">
        <v>28</v>
      </c>
      <c r="I22" s="64" t="s">
        <v>29</v>
      </c>
      <c r="J22" s="67"/>
      <c r="K22" s="67"/>
    </row>
    <row r="23" spans="1:11" ht="13.5" thickBot="1" x14ac:dyDescent="0.25">
      <c r="A23" s="101">
        <v>22</v>
      </c>
      <c r="B23" s="74">
        <v>12896037</v>
      </c>
      <c r="C23" s="64" t="s">
        <v>471</v>
      </c>
      <c r="D23" s="67"/>
      <c r="E23" s="64" t="s">
        <v>930</v>
      </c>
      <c r="F23" s="64" t="s">
        <v>931</v>
      </c>
      <c r="G23" s="66">
        <v>37356</v>
      </c>
      <c r="H23" s="64" t="s">
        <v>41</v>
      </c>
      <c r="I23" s="64" t="s">
        <v>29</v>
      </c>
      <c r="J23" s="64" t="s">
        <v>892</v>
      </c>
      <c r="K23" s="67"/>
    </row>
    <row r="24" spans="1:11" ht="26.25" thickBot="1" x14ac:dyDescent="0.25">
      <c r="A24" s="101">
        <v>23</v>
      </c>
      <c r="B24" s="74">
        <v>12872176</v>
      </c>
      <c r="C24" s="64" t="s">
        <v>905</v>
      </c>
      <c r="D24" s="64" t="s">
        <v>932</v>
      </c>
      <c r="E24" s="64" t="s">
        <v>906</v>
      </c>
      <c r="F24" s="64" t="s">
        <v>724</v>
      </c>
      <c r="G24" s="66">
        <v>37934</v>
      </c>
      <c r="H24" s="64" t="s">
        <v>28</v>
      </c>
      <c r="I24" s="64" t="s">
        <v>29</v>
      </c>
      <c r="J24" s="67"/>
      <c r="K24" s="67"/>
    </row>
    <row r="25" spans="1:11" ht="13.5" thickBot="1" x14ac:dyDescent="0.25">
      <c r="A25" s="101">
        <v>24</v>
      </c>
      <c r="B25" s="143"/>
      <c r="C25" s="64" t="s">
        <v>933</v>
      </c>
      <c r="D25" s="64" t="s">
        <v>934</v>
      </c>
      <c r="E25" s="64" t="s">
        <v>935</v>
      </c>
      <c r="F25" s="64" t="s">
        <v>149</v>
      </c>
      <c r="G25" s="66">
        <v>38061</v>
      </c>
      <c r="H25" s="64" t="s">
        <v>28</v>
      </c>
      <c r="I25" s="64" t="s">
        <v>29</v>
      </c>
      <c r="J25" s="67"/>
      <c r="K25" s="67"/>
    </row>
    <row r="26" spans="1:11" ht="26.25" thickBot="1" x14ac:dyDescent="0.25">
      <c r="A26" s="101">
        <v>25</v>
      </c>
      <c r="B26" s="143"/>
      <c r="C26" s="64" t="s">
        <v>936</v>
      </c>
      <c r="D26" s="64" t="s">
        <v>556</v>
      </c>
      <c r="E26" s="64" t="s">
        <v>937</v>
      </c>
      <c r="F26" s="64" t="s">
        <v>938</v>
      </c>
      <c r="G26" s="66">
        <v>36218</v>
      </c>
      <c r="H26" s="64" t="s">
        <v>41</v>
      </c>
      <c r="I26" s="64" t="s">
        <v>29</v>
      </c>
      <c r="J26" s="64" t="s">
        <v>701</v>
      </c>
      <c r="K26" s="67"/>
    </row>
    <row r="27" spans="1:11" ht="13.5" thickBot="1" x14ac:dyDescent="0.25">
      <c r="A27" s="101">
        <v>26</v>
      </c>
      <c r="B27" s="74">
        <v>9412291</v>
      </c>
      <c r="C27" s="64" t="s">
        <v>939</v>
      </c>
      <c r="D27" s="64" t="s">
        <v>940</v>
      </c>
      <c r="E27" s="64" t="s">
        <v>559</v>
      </c>
      <c r="F27" s="64" t="s">
        <v>941</v>
      </c>
      <c r="G27" s="66">
        <v>35199</v>
      </c>
      <c r="H27" s="64" t="s">
        <v>41</v>
      </c>
      <c r="I27" s="64" t="s">
        <v>29</v>
      </c>
      <c r="J27" s="64" t="s">
        <v>504</v>
      </c>
      <c r="K27" s="67"/>
    </row>
    <row r="28" spans="1:11" ht="26.25" thickBot="1" x14ac:dyDescent="0.25">
      <c r="A28" s="101">
        <v>27</v>
      </c>
      <c r="B28" s="74">
        <v>4480518</v>
      </c>
      <c r="C28" s="64" t="s">
        <v>942</v>
      </c>
      <c r="D28" s="64" t="s">
        <v>484</v>
      </c>
      <c r="E28" s="64" t="s">
        <v>943</v>
      </c>
      <c r="F28" s="64" t="s">
        <v>694</v>
      </c>
      <c r="G28" s="66">
        <v>32621</v>
      </c>
      <c r="H28" s="64" t="s">
        <v>41</v>
      </c>
      <c r="I28" s="64" t="s">
        <v>29</v>
      </c>
      <c r="J28" s="67"/>
      <c r="K28" s="67"/>
    </row>
    <row r="29" spans="1:11" ht="13.5" thickBot="1" x14ac:dyDescent="0.25">
      <c r="A29" s="101">
        <v>28</v>
      </c>
      <c r="B29" s="67"/>
      <c r="C29" s="67" t="s">
        <v>944</v>
      </c>
      <c r="D29" s="67"/>
      <c r="E29" s="67"/>
      <c r="F29" s="67"/>
      <c r="G29" s="67"/>
      <c r="H29" s="67"/>
      <c r="I29" s="67"/>
      <c r="J29" s="67"/>
      <c r="K29" s="67"/>
    </row>
    <row r="30" spans="1:11" ht="13.5" thickBot="1" x14ac:dyDescent="0.25">
      <c r="A30" s="101">
        <v>29</v>
      </c>
      <c r="B30" s="74">
        <v>12650685</v>
      </c>
      <c r="C30" s="64" t="s">
        <v>764</v>
      </c>
      <c r="D30" s="64" t="s">
        <v>945</v>
      </c>
      <c r="E30" s="64" t="s">
        <v>383</v>
      </c>
      <c r="F30" s="64" t="s">
        <v>946</v>
      </c>
      <c r="G30" s="66">
        <v>37099</v>
      </c>
      <c r="H30" s="64" t="s">
        <v>28</v>
      </c>
      <c r="I30" s="64" t="s">
        <v>29</v>
      </c>
      <c r="J30" s="64" t="s">
        <v>504</v>
      </c>
      <c r="K30" s="67"/>
    </row>
    <row r="31" spans="1:11" ht="13.5" thickBot="1" x14ac:dyDescent="0.25">
      <c r="A31" s="144">
        <v>6464443</v>
      </c>
      <c r="B31" s="58" t="s">
        <v>947</v>
      </c>
      <c r="C31" s="59" t="s">
        <v>948</v>
      </c>
      <c r="D31" s="59" t="s">
        <v>298</v>
      </c>
      <c r="E31" s="59" t="s">
        <v>206</v>
      </c>
      <c r="F31" s="61">
        <v>33800</v>
      </c>
      <c r="G31" s="59" t="s">
        <v>41</v>
      </c>
      <c r="H31" s="59" t="s">
        <v>29</v>
      </c>
    </row>
    <row r="32" spans="1:11" ht="13.5" thickBot="1" x14ac:dyDescent="0.25">
      <c r="A32" s="74">
        <v>5023221</v>
      </c>
      <c r="B32" s="63" t="s">
        <v>526</v>
      </c>
      <c r="C32" s="64" t="s">
        <v>459</v>
      </c>
      <c r="D32" s="64" t="s">
        <v>949</v>
      </c>
      <c r="E32" s="64" t="s">
        <v>417</v>
      </c>
      <c r="F32" s="66">
        <v>32164</v>
      </c>
      <c r="G32" s="64" t="s">
        <v>28</v>
      </c>
      <c r="H32" s="64" t="s">
        <v>29</v>
      </c>
    </row>
    <row r="33" spans="1:8" ht="26.25" thickBot="1" x14ac:dyDescent="0.25">
      <c r="A33" s="74">
        <v>3589149</v>
      </c>
      <c r="B33" s="63" t="s">
        <v>950</v>
      </c>
      <c r="C33" s="64" t="s">
        <v>573</v>
      </c>
      <c r="D33" s="64" t="s">
        <v>625</v>
      </c>
      <c r="E33" s="64" t="s">
        <v>920</v>
      </c>
      <c r="F33" s="66">
        <v>30173</v>
      </c>
      <c r="G33" s="64" t="s">
        <v>28</v>
      </c>
      <c r="H33" s="64" t="s">
        <v>29</v>
      </c>
    </row>
    <row r="34" spans="1:8" ht="13.5" thickBot="1" x14ac:dyDescent="0.25">
      <c r="A34" s="74">
        <v>955368</v>
      </c>
      <c r="B34" s="63" t="s">
        <v>951</v>
      </c>
      <c r="C34" s="64" t="s">
        <v>952</v>
      </c>
      <c r="D34" s="64" t="s">
        <v>953</v>
      </c>
      <c r="E34" s="64" t="s">
        <v>348</v>
      </c>
      <c r="F34" s="66">
        <v>20346</v>
      </c>
      <c r="G34" s="64" t="s">
        <v>28</v>
      </c>
      <c r="H34" s="64" t="s">
        <v>29</v>
      </c>
    </row>
    <row r="35" spans="1:8" ht="26.25" thickBot="1" x14ac:dyDescent="0.25">
      <c r="A35" s="74">
        <v>5319955</v>
      </c>
      <c r="B35" s="63" t="s">
        <v>954</v>
      </c>
      <c r="C35" s="64" t="s">
        <v>955</v>
      </c>
      <c r="D35" s="64" t="s">
        <v>956</v>
      </c>
      <c r="E35" s="64" t="s">
        <v>891</v>
      </c>
      <c r="F35" s="66">
        <v>33506</v>
      </c>
      <c r="G35" s="64" t="s">
        <v>28</v>
      </c>
      <c r="H35" s="64" t="s">
        <v>29</v>
      </c>
    </row>
    <row r="36" spans="1:8" ht="26.25" thickBot="1" x14ac:dyDescent="0.25">
      <c r="A36" s="144">
        <v>9392045</v>
      </c>
      <c r="B36" s="58" t="s">
        <v>957</v>
      </c>
      <c r="C36" s="59" t="s">
        <v>765</v>
      </c>
      <c r="D36" s="59" t="s">
        <v>298</v>
      </c>
      <c r="E36" s="59" t="s">
        <v>958</v>
      </c>
      <c r="F36" s="61">
        <v>37188</v>
      </c>
      <c r="G36" s="59" t="s">
        <v>28</v>
      </c>
      <c r="H36" s="59" t="s">
        <v>29</v>
      </c>
    </row>
    <row r="37" spans="1:8" ht="13.5" thickBot="1" x14ac:dyDescent="0.25">
      <c r="A37" s="143"/>
      <c r="B37" s="70" t="s">
        <v>959</v>
      </c>
      <c r="C37" s="64" t="s">
        <v>960</v>
      </c>
      <c r="D37" s="67"/>
      <c r="E37" s="67"/>
      <c r="F37" s="67"/>
      <c r="G37" s="67"/>
      <c r="H37" s="67"/>
    </row>
    <row r="38" spans="1:8" ht="26.25" thickBot="1" x14ac:dyDescent="0.25">
      <c r="A38" s="74">
        <v>8037540</v>
      </c>
      <c r="B38" s="64" t="s">
        <v>961</v>
      </c>
      <c r="C38" s="64" t="s">
        <v>962</v>
      </c>
      <c r="D38" s="64" t="s">
        <v>963</v>
      </c>
      <c r="E38" s="64" t="s">
        <v>964</v>
      </c>
      <c r="F38" s="66">
        <v>34311</v>
      </c>
      <c r="G38" s="64" t="s">
        <v>28</v>
      </c>
      <c r="H38" s="6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EXPLORADORES</vt:lpstr>
      <vt:lpstr>Dirigentes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 RODRIGUEZ CASTRO</cp:lastModifiedBy>
  <dcterms:modified xsi:type="dcterms:W3CDTF">2026-03-17T15:24:25Z</dcterms:modified>
</cp:coreProperties>
</file>